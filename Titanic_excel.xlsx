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0C39E\EXCELCNV\590ffba0-0e96-43ab-a726-b01bf3241f18\"/>
    </mc:Choice>
  </mc:AlternateContent>
  <xr:revisionPtr revIDLastSave="0" documentId="8_{052408BA-28CE-4358-B9CC-79355EC47D8A}" xr6:coauthVersionLast="47" xr6:coauthVersionMax="47" xr10:uidLastSave="{00000000-0000-0000-0000-000000000000}"/>
  <bookViews>
    <workbookView xWindow="-60" yWindow="-60" windowWidth="15480" windowHeight="11640" firstSheet="4" activeTab="4" xr2:uid="{359FF41A-E800-42FC-BA84-59C8554A019B}"/>
  </bookViews>
  <sheets>
    <sheet name="Data" sheetId="1" r:id="rId1"/>
    <sheet name="Survival by Gender" sheetId="5" r:id="rId2"/>
    <sheet name="Average Fare by Class" sheetId="6" r:id="rId3"/>
    <sheet name="Embarked Survival" sheetId="7" r:id="rId4"/>
    <sheet name="Price Differences by class" sheetId="3" r:id="rId5"/>
    <sheet name="Survival by Port and Gender" sheetId="4" r:id="rId6"/>
    <sheet name="Survival rates by Gender" sheetId="2" r:id="rId7"/>
  </sheets>
  <calcPr calcId="191028"/>
  <pivotCaches>
    <pivotCache cacheId="191" r:id="rId8"/>
    <pivotCache cacheId="192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" i="1" l="1"/>
  <c r="P4" i="1"/>
  <c r="P3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3" i="1"/>
  <c r="L4" i="1"/>
  <c r="L5" i="1"/>
  <c r="L6" i="1"/>
  <c r="L7" i="1"/>
  <c r="L8" i="1"/>
  <c r="L9" i="1"/>
  <c r="L2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3" i="1"/>
  <c r="K4" i="1"/>
  <c r="K2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2" i="1"/>
</calcChain>
</file>

<file path=xl/sharedStrings.xml><?xml version="1.0" encoding="utf-8"?>
<sst xmlns="http://schemas.openxmlformats.org/spreadsheetml/2006/main" count="2724" uniqueCount="921">
  <si>
    <t>Survived</t>
  </si>
  <si>
    <t>Pclass</t>
  </si>
  <si>
    <t>Name</t>
  </si>
  <si>
    <t>Sex</t>
  </si>
  <si>
    <t>Age</t>
  </si>
  <si>
    <t>SibSp</t>
  </si>
  <si>
    <t>Parch</t>
  </si>
  <si>
    <t>Fare</t>
  </si>
  <si>
    <t>Embarked</t>
  </si>
  <si>
    <t>Age Group</t>
  </si>
  <si>
    <t>High Fare</t>
  </si>
  <si>
    <t>Family Size</t>
  </si>
  <si>
    <t>Braund, Mr. Owen Harris</t>
  </si>
  <si>
    <t>male</t>
  </si>
  <si>
    <t>S</t>
  </si>
  <si>
    <t xml:space="preserve">             Summery Table</t>
  </si>
  <si>
    <t>Cumings, Mrs. John Bradley (Florence Briggs Thayer)</t>
  </si>
  <si>
    <t>female</t>
  </si>
  <si>
    <t>C</t>
  </si>
  <si>
    <t>Female Survivors</t>
  </si>
  <si>
    <t>Heikkinen, Miss. Laina</t>
  </si>
  <si>
    <t>Male survivors</t>
  </si>
  <si>
    <t>Futrelle, Mrs. Jacques Heath (Lily May Peel)</t>
  </si>
  <si>
    <t>Total fare class one</t>
  </si>
  <si>
    <t>Allen, Mr. William Henry</t>
  </si>
  <si>
    <t>Moran, Mr. James</t>
  </si>
  <si>
    <t>Q</t>
  </si>
  <si>
    <t>McCarthy, Mr. Timothy J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</si>
  <si>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</si>
  <si>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</si>
  <si>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</si>
  <si>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</si>
  <si>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Bonnell, Miss. Elizabeth</t>
  </si>
  <si>
    <t>Saundercock, Mr. William Henry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</si>
  <si>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</si>
  <si>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</si>
  <si>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</si>
  <si>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</si>
  <si>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</si>
  <si>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</si>
  <si>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</si>
  <si>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</si>
  <si>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</si>
  <si>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McGowan, Miss. Anna "Annie"</t>
  </si>
  <si>
    <t>Sloper, Mr. William Thompson</t>
  </si>
  <si>
    <t>Palsson, Miss. Torborg Danira</t>
  </si>
  <si>
    <t>Asplund, Mrs. Carl Oscar (Selma Augusta Emilia Johansson)</t>
  </si>
  <si>
    <t>Emir, Mr. Farred Chehab</t>
  </si>
  <si>
    <t>Fortune, Mr. Charles Alexander</t>
  </si>
  <si>
    <t>O'Dwyer, Miss. Ellen "Nellie"</t>
  </si>
  <si>
    <t>Todoroff, Mr. Lalio</t>
  </si>
  <si>
    <t>Uruchurtu, Don. Manuel E</t>
  </si>
  <si>
    <t>Spencer, Mrs. William Augustus (Marie Eugenie)</t>
  </si>
  <si>
    <t>Glynn, Miss. Mary Agatha</t>
  </si>
  <si>
    <t>Wheadon, Mr. Edward H</t>
  </si>
  <si>
    <t>Meyer, Mr. Edgar Joseph</t>
  </si>
  <si>
    <t>Holverson, Mr. Alexander Oskar</t>
  </si>
  <si>
    <t>Mamee, Mr. Hanna</t>
  </si>
  <si>
    <t>Cann, Mr. Ernest Charles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</si>
  <si>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</si>
  <si>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</si>
  <si>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</si>
  <si>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</si>
  <si>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</si>
  <si>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</si>
  <si>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Devaney, Miss. Margaret Delia</t>
  </si>
  <si>
    <t>Rogers, Mr. William John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</si>
  <si>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</si>
  <si>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</si>
  <si>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</si>
  <si>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</si>
  <si>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</si>
  <si>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</si>
  <si>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Harper, Mrs. Henry Sleeper (Myna Haxtun)</t>
  </si>
  <si>
    <t>Faunthorpe, Mrs. Lizzie (Elizabeth Anne Wilkinson)</t>
  </si>
  <si>
    <t>Ostby, Mr. Engelhart Cornelius</t>
  </si>
  <si>
    <t>Woolner, Mr. Hugh</t>
  </si>
  <si>
    <t>Rugg, Miss. Emily</t>
  </si>
  <si>
    <t>Novel, Mr. Mansouer</t>
  </si>
  <si>
    <t>West, Miss. Constance Mirium</t>
  </si>
  <si>
    <t>Goodwin, Master. William Frederick</t>
  </si>
  <si>
    <t>Sirayanian, Mr. Orsen</t>
  </si>
  <si>
    <t>Icard, Miss. Amelie</t>
  </si>
  <si>
    <t>Harris, Mr. Henry Birkhardt</t>
  </si>
  <si>
    <t>Skoog, Master. Harald</t>
  </si>
  <si>
    <t>Stewart, Mr. Albert A</t>
  </si>
  <si>
    <t>Moubarek, Master. Gerios</t>
  </si>
  <si>
    <t>Nye, Mrs. (Elizabeth Ramell)</t>
  </si>
  <si>
    <t>Crease, Mr. Ernest James</t>
  </si>
  <si>
    <t>Andersson, Miss. Erna Alexandra</t>
  </si>
  <si>
    <t>Kink, Mr. Vincenz</t>
  </si>
  <si>
    <t>Jenkin, Mr. Stephen Curnow</t>
  </si>
  <si>
    <t>Goodwin, Miss. Lillian Amy</t>
  </si>
  <si>
    <t>Hood, Mr. Ambrose Jr</t>
  </si>
  <si>
    <t>Chronopoulos, Mr. Apostolos</t>
  </si>
  <si>
    <t>Bing, Mr. Lee</t>
  </si>
  <si>
    <t>Moen, Mr. Sigurd Hansen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</si>
  <si>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</si>
  <si>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</si>
  <si>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</si>
  <si>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</si>
  <si>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</si>
  <si>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</si>
  <si>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</si>
  <si>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</si>
  <si>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</si>
  <si>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Backstrom, Mrs. Karl Alfred (Maria Mathilda Gustafsson)</t>
  </si>
  <si>
    <t>Ford, Mr. William Neal</t>
  </si>
  <si>
    <t>Slocovski, Mr. Selman Francis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</si>
  <si>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</si>
  <si>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</si>
  <si>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</si>
  <si>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</si>
  <si>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</si>
  <si>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Dean, Mr. Bertram Frank</t>
  </si>
  <si>
    <t>Coxon, Mr. Daniel</t>
  </si>
  <si>
    <t>Shorney, Mr. Charles Joseph</t>
  </si>
  <si>
    <t>Goldschmidt, Mr. George B</t>
  </si>
  <si>
    <t>Greenfield, Mr. William Bertram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</si>
  <si>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</si>
  <si>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</si>
  <si>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</si>
  <si>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</si>
  <si>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</si>
  <si>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</si>
  <si>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</si>
  <si>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</si>
  <si>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</si>
  <si>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</si>
  <si>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</si>
  <si>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</si>
  <si>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</si>
  <si>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Zabour, Miss. Hileni</t>
  </si>
  <si>
    <t>Barton, Mr. David John</t>
  </si>
  <si>
    <t>Jussila, Miss. Katriina</t>
  </si>
  <si>
    <t>Attalah, Miss. Malake</t>
  </si>
  <si>
    <t>Pekoniemi, Mr. Edvard</t>
  </si>
  <si>
    <t>Connors, Mr. Patrick</t>
  </si>
  <si>
    <t>Turpin, Mr. William John Robert</t>
  </si>
  <si>
    <t>Baxter, Mr. Quigg Edmond</t>
  </si>
  <si>
    <t>Andersson, Miss. Ellis Anna Maria</t>
  </si>
  <si>
    <t>Hickman, Mr. Stanley George</t>
  </si>
  <si>
    <t>Moore, Mr. Leonard Charles</t>
  </si>
  <si>
    <t>Nasser, Mr. Nicholas</t>
  </si>
  <si>
    <t>Webber, Miss. Susan</t>
  </si>
  <si>
    <t>White, Mr. Percival Wayland</t>
  </si>
  <si>
    <t>Nicola-Yarred, Master. Elias</t>
  </si>
  <si>
    <t>McMahon, Mr. Martin</t>
  </si>
  <si>
    <t>Madsen, Mr. Fridtjof Arne</t>
  </si>
  <si>
    <t>Peter, Miss. Anna</t>
  </si>
  <si>
    <t>Ekstrom, Mr. Johan</t>
  </si>
  <si>
    <t>Drazenoic, Mr. Jozef</t>
  </si>
  <si>
    <t>Coelho, Mr. Domingos Fernandeo</t>
  </si>
  <si>
    <t>Robins, Mrs. Alexander A (Grace Charity Laury)</t>
  </si>
  <si>
    <t>Weisz, Mrs. Leopold (Mathilde Francoise Pede)</t>
  </si>
  <si>
    <t>Sobey, Mr. Samuel James Hayden</t>
  </si>
  <si>
    <t>Richard, Mr. Emile</t>
  </si>
  <si>
    <t>Newsom, Miss. Helen Monypeny</t>
  </si>
  <si>
    <t>Futrelle, Mr. Jacques Heath</t>
  </si>
  <si>
    <t>Osen, Mr. Olaf Elon</t>
  </si>
  <si>
    <t>Giglio, Mr. Victor</t>
  </si>
  <si>
    <t>Boulos, Mrs. Joseph (Sultana)</t>
  </si>
  <si>
    <t>Nysten, Miss. Anna Sofia</t>
  </si>
  <si>
    <t>Hakkarainen, Mrs. Pekka Pietari (Elin Matilda Dolck)</t>
  </si>
  <si>
    <t>Burke, Mr. Jeremiah</t>
  </si>
  <si>
    <t>Andrew, Mr. Edgardo Samuel</t>
  </si>
  <si>
    <t>Nicholls, Mr. Joseph Charles</t>
  </si>
  <si>
    <t>Andersson, Mr. August Edvard ("Wennerstrom")</t>
  </si>
  <si>
    <t>Ford, Miss. Robina Maggie "Ruby"</t>
  </si>
  <si>
    <t>Navratil, Mr. Michel ("Louis M Hoffman")</t>
  </si>
  <si>
    <t>Byles, Rev. Thomas Roussel Davids</t>
  </si>
  <si>
    <t>Bateman, Rev. Robert James</t>
  </si>
  <si>
    <t>Pears, Mrs. Thomas (Edith Wearne)</t>
  </si>
  <si>
    <t>Meo, Mr. Alfonzo</t>
  </si>
  <si>
    <t>van Billiard, Mr. Austin Blyler</t>
  </si>
  <si>
    <t>Olsen, Mr. Ole Martin</t>
  </si>
  <si>
    <t>Williams, Mr. Charles Duane</t>
  </si>
  <si>
    <t>Gilnagh, Miss. Katherine "Katie"</t>
  </si>
  <si>
    <t>Corn, Mr. Harry</t>
  </si>
  <si>
    <t>Smiljanic, Mr. Mile</t>
  </si>
  <si>
    <t>Sage, Master. Thomas Henry</t>
  </si>
  <si>
    <t>Cribb, Mr. John Hatfield</t>
  </si>
  <si>
    <t>Watt, Mrs. James (Elizabeth "Bessie" Inglis Milne)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</si>
  <si>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</si>
  <si>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</si>
  <si>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</si>
  <si>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</si>
  <si>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</si>
  <si>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Skoog, Mrs. William (Anna Bernhardina Karlsson)</t>
  </si>
  <si>
    <t>Baumann, Mr. John D</t>
  </si>
  <si>
    <t>Ling, Mr. Lee</t>
  </si>
  <si>
    <t>Van der hoef, Mr. Wyckoff</t>
  </si>
  <si>
    <t>Rice, Master. Arthur</t>
  </si>
  <si>
    <t>Johnson, Miss. Eleanor Ileen</t>
  </si>
  <si>
    <t>Sivola, Mr. Antti Wilhelm</t>
  </si>
  <si>
    <t>Smith, Mr. James Clinch</t>
  </si>
  <si>
    <t>Klasen, Mr. Klas Albin</t>
  </si>
  <si>
    <t>Lefebre, Master. Henry Forbes</t>
  </si>
  <si>
    <t>Isham, Miss. Ann Elizabeth</t>
  </si>
  <si>
    <t>Hale, Mr. Reginald</t>
  </si>
  <si>
    <t>Leonard, Mr. Lionel</t>
  </si>
  <si>
    <t>Sage, Miss. Constance Gladys</t>
  </si>
  <si>
    <t>Pernot, Mr. Rene</t>
  </si>
  <si>
    <t>Asplund, Master. Clarence Gustaf Hugo</t>
  </si>
  <si>
    <t>Becker, Master. Richard F</t>
  </si>
  <si>
    <t>Kink-Heilmann, Miss. Luise Gretchen</t>
  </si>
  <si>
    <t>Rood, Mr. Hugh Roscoe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</si>
  <si>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</si>
  <si>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</si>
  <si>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</si>
  <si>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</si>
  <si>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</si>
  <si>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</si>
  <si>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</si>
  <si>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</si>
  <si>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</si>
  <si>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Lurette, Miss. Elise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</si>
  <si>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</si>
  <si>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</si>
  <si>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</si>
  <si>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</si>
  <si>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</si>
  <si>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</si>
  <si>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</si>
  <si>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</si>
  <si>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</si>
  <si>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</si>
  <si>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</si>
  <si>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</si>
  <si>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</si>
  <si>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</si>
  <si>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Ali, Mr. Ahmed</t>
  </si>
  <si>
    <t>Cameron, Miss. Clear Annie</t>
  </si>
  <si>
    <t>Perkin, Mr. John Henry</t>
  </si>
  <si>
    <t>Givard, Mr. Hans Kristensen</t>
  </si>
  <si>
    <t>Kiernan, Mr. Philip</t>
  </si>
  <si>
    <t>Newell, Miss. Madeleine</t>
  </si>
  <si>
    <t>Honkanen, Miss. Eliina</t>
  </si>
  <si>
    <t>Jacobsohn, Mr. Sidney Samuel</t>
  </si>
  <si>
    <t>Bazzani, Miss. Albina</t>
  </si>
  <si>
    <t>Harris, Mr. Walter</t>
  </si>
  <si>
    <t>Sunderland, Mr. Victor Francis</t>
  </si>
  <si>
    <t>Bracken, Mr. James H</t>
  </si>
  <si>
    <t>Green, Mr. George Henry</t>
  </si>
  <si>
    <t>Nenkoff, Mr. Christo</t>
  </si>
  <si>
    <t>Hoyt, Mr. Frederick Maxfield</t>
  </si>
  <si>
    <t>Berglund, Mr. Karl Ivar Sven</t>
  </si>
  <si>
    <t>Mellors, Mr. William John</t>
  </si>
  <si>
    <t>Lovell, Mr. John Hall ("Henry")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</si>
  <si>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</si>
  <si>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</si>
  <si>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</si>
  <si>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</si>
  <si>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</si>
  <si>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</si>
  <si>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</si>
  <si>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Harknett, Miss. Alice Phoebe</t>
  </si>
  <si>
    <t>Hold, Mr. Stephen</t>
  </si>
  <si>
    <t>Collyer, Miss. Marjorie "Lottie"</t>
  </si>
  <si>
    <t>Pengelly, Mr. Frederick William</t>
  </si>
  <si>
    <t>Hunt, Mr. George Henry</t>
  </si>
  <si>
    <t>Zabour, Miss. Thamine</t>
  </si>
  <si>
    <t>Murphy, Miss. Katherine "Kate"</t>
  </si>
  <si>
    <t>Coleridge, Mr. Reginald Charles</t>
  </si>
  <si>
    <t>Maenpaa, Mr. Matti Alexanteri</t>
  </si>
  <si>
    <t>Attalah, Mr. Sleiman</t>
  </si>
  <si>
    <t>Minahan, Dr. William Edward</t>
  </si>
  <si>
    <t>Lindahl, Miss. Agda Thorilda Viktoria</t>
  </si>
  <si>
    <t>Hamalainen, Mrs. William (Anna)</t>
  </si>
  <si>
    <t>Beckwith, Mr. Richard Leonard</t>
  </si>
  <si>
    <t>Carter, Rev. Ernest Courtenay</t>
  </si>
  <si>
    <t>Reed, Mr. James George</t>
  </si>
  <si>
    <t>Strom, Mrs. Wilhelm (Elna Matilda Persson)</t>
  </si>
  <si>
    <t>Stead, Mr. William Thomas</t>
  </si>
  <si>
    <t>Lobb, Mr. William Arthur</t>
  </si>
  <si>
    <t>Rosblom, Mrs. Viktor (Helena Wilhelmina)</t>
  </si>
  <si>
    <t>Touma, Mrs. Darwis (Hanne Youssef Razi)</t>
  </si>
  <si>
    <t>Thorne, Mrs. Gertrude Maybelle</t>
  </si>
  <si>
    <t>Cherry, Miss. Gladys</t>
  </si>
  <si>
    <t>Ward, Miss. Anna</t>
  </si>
  <si>
    <t>Parrish, Mrs. (Lutie Davis)</t>
  </si>
  <si>
    <t>Smith, Mr. Thomas</t>
  </si>
  <si>
    <t>Asplund, Master. Edvin Rojj Felix</t>
  </si>
  <si>
    <t>Taussig, Mr. Emil</t>
  </si>
  <si>
    <t>Harrison, Mr. William</t>
  </si>
  <si>
    <t>Henry, Miss. Delia</t>
  </si>
  <si>
    <t>Reeves, Mr. David</t>
  </si>
  <si>
    <t>Panula, Mr. Ernesti Arvid</t>
  </si>
  <si>
    <t>Persson, Mr. Ernst Ulrik</t>
  </si>
  <si>
    <t>Graham, Mrs. William Thompson (Edith Junkins)</t>
  </si>
  <si>
    <t>Bissette, Miss. Amelia</t>
  </si>
  <si>
    <t>Cairns, Mr. Alexander</t>
  </si>
  <si>
    <t>Tornquist, Mr. William Henry</t>
  </si>
  <si>
    <t>Mellinger, Mrs. (Elizabeth Anne Maidment)</t>
  </si>
  <si>
    <t>Natsch, Mr. Charles H</t>
  </si>
  <si>
    <t>Healy, Miss. Hanora "Nora"</t>
  </si>
  <si>
    <t>Andrews, Miss. Kornelia Theodosia</t>
  </si>
  <si>
    <t>Lindblom, Miss. Augusta Charlotta</t>
  </si>
  <si>
    <t>Parkes, Mr. Francis "Frank"</t>
  </si>
  <si>
    <t>Rice, Master. Eric</t>
  </si>
  <si>
    <t>Abbott, Mrs. Stanton (Rosa Hunt)</t>
  </si>
  <si>
    <t>Duane, Mr. Frank</t>
  </si>
  <si>
    <t>Olsson, Mr. Nils Johan Goransson</t>
  </si>
  <si>
    <t>de Pelsmaeker, Mr. Alfons</t>
  </si>
  <si>
    <t>Dorking, Mr. Edward Arthur</t>
  </si>
  <si>
    <t>Smith, Mr. Richard William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</si>
  <si>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</si>
  <si>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</si>
  <si>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</si>
  <si>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</si>
  <si>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</si>
  <si>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</si>
  <si>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</si>
  <si>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Levy, Mr. Rene Jacques</t>
  </si>
  <si>
    <t>Haas, Miss. Aloisia</t>
  </si>
  <si>
    <t>Mineff, Mr. Ivan</t>
  </si>
  <si>
    <t>Lewy, Mr. Ervin G</t>
  </si>
  <si>
    <t>Hanna, Mr. Mansour</t>
  </si>
  <si>
    <t>Allison, Miss. Helen Loraine</t>
  </si>
  <si>
    <t>Saalfeld, Mr. Adolphe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</si>
  <si>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</si>
  <si>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</si>
  <si>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</si>
  <si>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</si>
  <si>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</si>
  <si>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</si>
  <si>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Allison, Master. Hudson Trevor</t>
  </si>
  <si>
    <t>Fleming, Miss. Margaret</t>
  </si>
  <si>
    <t>Penasco y Castellana, Mrs. Victor de Satode (Maria Josefa Perez de Soto y Vallejo)</t>
  </si>
  <si>
    <t>Abelson, Mr. Samuel</t>
  </si>
  <si>
    <t>Francatelli, Miss. Laura Mabel</t>
  </si>
  <si>
    <t>Hays, Miss. Margaret Bechstein</t>
  </si>
  <si>
    <t>Ryerson, Miss. Emily Borie</t>
  </si>
  <si>
    <t>Lahtinen, Mrs. William (Anna Sylfven)</t>
  </si>
  <si>
    <t>Hendekovic, Mr. Ignjac</t>
  </si>
  <si>
    <t>Hart, Mr. Benjamin</t>
  </si>
  <si>
    <t>Nilsson, Miss. Helmina Josefina</t>
  </si>
  <si>
    <t>Kantor, Mrs. Sinai (Miriam Sternin)</t>
  </si>
  <si>
    <t>Moraweck, Dr. Ernest</t>
  </si>
  <si>
    <t>Wick, Miss. Mary Natalie</t>
  </si>
  <si>
    <t>Spedden, Mrs. Frederic Oakley (Margaretta Corning Stone)</t>
  </si>
  <si>
    <t>Dennis, Mr. Samuel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</si>
  <si>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</si>
  <si>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</si>
  <si>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</si>
  <si>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</si>
  <si>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</si>
  <si>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Nysveen, Mr. Johan Hansen</t>
  </si>
  <si>
    <t>Ball, Mrs. (Ada E Hall)</t>
  </si>
  <si>
    <t>Goldsmith, Mrs. Frank John (Emily Alice Brown)</t>
  </si>
  <si>
    <t>Hippach, Miss. Jean Gertrude</t>
  </si>
  <si>
    <t>McCoy, Miss. Agnes</t>
  </si>
  <si>
    <t>Partner, Mr. Austen</t>
  </si>
  <si>
    <t>Graham, Mr. George Edward</t>
  </si>
  <si>
    <t>Vander Planke, Mr. Leo Edmondus</t>
  </si>
  <si>
    <t>Frauenthal, Mrs. Henry William (Clara Heinsheimer)</t>
  </si>
  <si>
    <t>Denkoff, Mr. Mitto</t>
  </si>
  <si>
    <t>Pears, Mr. Thomas Clinton</t>
  </si>
  <si>
    <t>Burns, Miss. Elizabeth Margaret</t>
  </si>
  <si>
    <t>Dahl, Mr. Karl Edwart</t>
  </si>
  <si>
    <t>Blackwell, Mr. Stephen Weart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</si>
  <si>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</si>
  <si>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</si>
  <si>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</si>
  <si>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</si>
  <si>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</si>
  <si>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</si>
  <si>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</si>
  <si>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</si>
  <si>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</si>
  <si>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Dimic, Mr. Jovan</t>
  </si>
  <si>
    <t>Odahl, Mr. Nils Martin</t>
  </si>
  <si>
    <t>Williams-Lambert, Mr. Fletcher Fellows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</si>
  <si>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</si>
  <si>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</si>
  <si>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</si>
  <si>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</si>
  <si>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</si>
  <si>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</si>
  <si>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</si>
  <si>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</si>
  <si>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</si>
  <si>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</si>
  <si>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Barbara, Mrs. (Catherine David)</t>
  </si>
  <si>
    <t>Asim, Mr. Adola</t>
  </si>
  <si>
    <t>O'Brien, Mr. Thomas</t>
  </si>
  <si>
    <t>Adahl, Mr. Mauritz Nils Martin</t>
  </si>
  <si>
    <t>Warren, Mrs. Frank Manley (Anna Sophia Atkinson)</t>
  </si>
  <si>
    <t>Moussa, Mrs. (Mantoura Boulos)</t>
  </si>
  <si>
    <t>Jermyn, Miss. Annie</t>
  </si>
  <si>
    <t>Aubart, Mme. Leontine Pauline</t>
  </si>
  <si>
    <t>Harder, Mr. George Achilles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</si>
  <si>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</si>
  <si>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</si>
  <si>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</si>
  <si>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</si>
  <si>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</si>
  <si>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</si>
  <si>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Widener, Mr. Harry Elkins</t>
  </si>
  <si>
    <t>Betros, Mr. Tannous</t>
  </si>
  <si>
    <t>Gustafsson, Mr. Karl Gideon</t>
  </si>
  <si>
    <t>Bidois, Miss. Rosalie</t>
  </si>
  <si>
    <t>Nakid, Miss. Maria ("Mary")</t>
  </si>
  <si>
    <t>Tikkanen, Mr. Juho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</si>
  <si>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</si>
  <si>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</si>
  <si>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</si>
  <si>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</si>
  <si>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</si>
  <si>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</si>
  <si>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</si>
  <si>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Carter, Mr. William Ernest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</si>
  <si>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</si>
  <si>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</si>
  <si>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</si>
  <si>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</si>
  <si>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</si>
  <si>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</si>
  <si>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</si>
  <si>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</si>
  <si>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</si>
  <si>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</si>
  <si>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</si>
  <si>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</si>
  <si>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</si>
  <si>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</si>
  <si>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</si>
  <si>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</si>
  <si>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</si>
  <si>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</si>
  <si>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</si>
  <si>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</si>
  <si>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</si>
  <si>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</si>
  <si>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</si>
  <si>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</si>
  <si>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</si>
  <si>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</si>
  <si>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</si>
  <si>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</si>
  <si>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</si>
  <si>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</si>
  <si>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</si>
  <si>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Zimmerman, Mr. Leo</t>
  </si>
  <si>
    <t>Danbom, Mrs. Ernst Gilbert (Anna Sigrid Maria Brogren)</t>
  </si>
  <si>
    <t>Rosblom, Mr. Viktor Richard</t>
  </si>
  <si>
    <t>Wiseman, Mr. Phillippe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</si>
  <si>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</si>
  <si>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</si>
  <si>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</si>
  <si>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</si>
  <si>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Bjornstrom-Steffansson, Mr. Mauritz Hakan</t>
  </si>
  <si>
    <t>Thorneycroft, Mrs. Percival (Florence Kate White)</t>
  </si>
  <si>
    <t>Louch, Mrs. Charles Alexander (Alice Adelaide Slow)</t>
  </si>
  <si>
    <t>Kallio, Mr. Nikolai Erland</t>
  </si>
  <si>
    <t>Silvey, Mr. William Baird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</si>
  <si>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</si>
  <si>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</si>
  <si>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</si>
  <si>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</si>
  <si>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</si>
  <si>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</si>
  <si>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</si>
  <si>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</si>
  <si>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</si>
  <si>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</si>
  <si>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</si>
  <si>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Mellinger, Miss. Madeleine Violet</t>
  </si>
  <si>
    <t>Seward, Mr. Frederic Kimber</t>
  </si>
  <si>
    <t>Baclini, Miss. Marie Catherine</t>
  </si>
  <si>
    <t>Peuchen, Major. Arthur Godfrey</t>
  </si>
  <si>
    <t>West, Mr. Edwy Arthur</t>
  </si>
  <si>
    <t>Hagland, Mr. Ingvald Olai Olsen</t>
  </si>
  <si>
    <t>Foreman, Mr. Benjamin Laventall</t>
  </si>
  <si>
    <t>Goldenberg, Mr. Samuel L</t>
  </si>
  <si>
    <t>Peduzzi, Mr. Joseph</t>
  </si>
  <si>
    <t>Jalsevac, Mr. Ivan</t>
  </si>
  <si>
    <t>Millet, Mr. Francis Davis</t>
  </si>
  <si>
    <t>Kenyon, Mrs. Frederick R (Marion)</t>
  </si>
  <si>
    <t>Toomey, Miss. Ellen</t>
  </si>
  <si>
    <t>O'Connor, Mr. Maurice</t>
  </si>
  <si>
    <t>Anderson, Mr. Harry</t>
  </si>
  <si>
    <t>Morley, Mr. William</t>
  </si>
  <si>
    <t>Gee, Mr. Arthur H</t>
  </si>
  <si>
    <t>Milling, Mr. Jacob Christian</t>
  </si>
  <si>
    <t>Maisner, Mr. Simon</t>
  </si>
  <si>
    <t>Goncalves, Mr. Manuel Estanslas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</si>
  <si>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</si>
  <si>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</si>
  <si>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</si>
  <si>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</si>
  <si>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</si>
  <si>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</si>
  <si>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</si>
  <si>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</si>
  <si>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Strandberg, Miss. Ida Sofia</t>
  </si>
  <si>
    <t>Clifford, Mr. George Quincy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</si>
  <si>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</si>
  <si>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</si>
  <si>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</si>
  <si>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</si>
  <si>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</si>
  <si>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</si>
  <si>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</si>
  <si>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</si>
  <si>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</si>
  <si>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</si>
  <si>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</si>
  <si>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</si>
  <si>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Somerton, Mr. Francis William</t>
  </si>
  <si>
    <t>Coutts, Master. Eden Leslie "Neville"</t>
  </si>
  <si>
    <t>Hagland, Mr. Konrad Mathias Reiersen</t>
  </si>
  <si>
    <t>Windelov, Mr. Einar</t>
  </si>
  <si>
    <t>Molson, Mr. Harry Markland</t>
  </si>
  <si>
    <t>Artagaveytia, Mr. Ramon</t>
  </si>
  <si>
    <t>Stanley, Mr. Edward Roland</t>
  </si>
  <si>
    <t>Yousseff, Mr. Gerious</t>
  </si>
  <si>
    <t>Eustis, Miss. Elizabeth Mussey</t>
  </si>
  <si>
    <t>Shellard, Mr. Frederick William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</si>
  <si>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</si>
  <si>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</si>
  <si>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</si>
  <si>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</si>
  <si>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</si>
  <si>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</si>
  <si>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</si>
  <si>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</si>
  <si>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</si>
  <si>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</si>
  <si>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</si>
  <si>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Lang, Mr. Fang</t>
  </si>
  <si>
    <t>Daly, Mr. Eugene Patrick</t>
  </si>
  <si>
    <t>Webber, Mr. James</t>
  </si>
  <si>
    <t>McGough, Mr. James Robert</t>
  </si>
  <si>
    <t>Rothschild, Mrs. Martin (Elizabeth L. Barrett)</t>
  </si>
  <si>
    <t>Coleff, Mr. Satio</t>
  </si>
  <si>
    <t>Walker, Mr. William Anderson</t>
  </si>
  <si>
    <t>Lemore, Mrs. (Amelia Milley)</t>
  </si>
  <si>
    <t>Ryan, Mr. Patrick</t>
  </si>
  <si>
    <t>Angle, Mrs. William A (Florence "Mary" Agnes Hughes)</t>
  </si>
  <si>
    <t>Pavlovic, Mr. Stefo</t>
  </si>
  <si>
    <t>Perreault, Miss. Anne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</si>
  <si>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</si>
  <si>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</si>
  <si>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</si>
  <si>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</si>
  <si>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</si>
  <si>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</si>
  <si>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Farthing, Mr. John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</si>
  <si>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</si>
  <si>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</si>
  <si>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</si>
  <si>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</si>
  <si>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</si>
  <si>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</si>
  <si>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</si>
  <si>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</si>
  <si>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</si>
  <si>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LeRoy, Miss. Bertha</t>
  </si>
  <si>
    <t>Risien, Mr. Samuel Beard</t>
  </si>
  <si>
    <t>Frolicher, Miss. Hedwig Margaritha</t>
  </si>
  <si>
    <t>Crosby, Miss. Harriet R</t>
  </si>
  <si>
    <t>Andersson, Miss. Ingeborg Constanzia</t>
  </si>
  <si>
    <t>Andersson, Miss. Sigrid Elisabeth</t>
  </si>
  <si>
    <t>Beane, Mr. Edward</t>
  </si>
  <si>
    <t>Douglas, Mr. Walter Donald</t>
  </si>
  <si>
    <t>Nicholson, Mr. Arthur Ernest</t>
  </si>
  <si>
    <t>Beane, Mrs. Edward (Ethel Clarke)</t>
  </si>
  <si>
    <t>Padro y Manent, Mr. Julian</t>
  </si>
  <si>
    <t>Goldsmith, Mr. Frank John</t>
  </si>
  <si>
    <t>Davies, Master. John Morgan Jr</t>
  </si>
  <si>
    <t>Thayer, Mr. John Borland Jr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</si>
  <si>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</si>
  <si>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</si>
  <si>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</si>
  <si>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</si>
  <si>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</si>
  <si>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</si>
  <si>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</si>
  <si>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</si>
  <si>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</si>
  <si>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</si>
  <si>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</si>
  <si>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</si>
  <si>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</si>
  <si>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Meanwell, Miss. (Marion Ogden)</t>
  </si>
  <si>
    <t>Davies, Mr. Alfred J</t>
  </si>
  <si>
    <t>Stoytcheff, Mr. Ilia</t>
  </si>
  <si>
    <t>Palsson, Mrs. Nils (Alma Cornelia Berglund)</t>
  </si>
  <si>
    <t>Doharr, Mr. Tannous</t>
  </si>
  <si>
    <t>Jonsson, Mr. Carl</t>
  </si>
  <si>
    <t>Harris, Mr. George</t>
  </si>
  <si>
    <t>Appleton, Mrs. Edward Dale (Charlotte Lamson)</t>
  </si>
  <si>
    <t>Flynn, Mr. John Irwin ("Irving")</t>
  </si>
  <si>
    <t>Kelly, Miss. Mary</t>
  </si>
  <si>
    <t>Rush, Mr. Alfred George John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</si>
  <si>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</si>
  <si>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</si>
  <si>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</si>
  <si>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</si>
  <si>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</si>
  <si>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Christy, Miss. Julie Rachel</t>
  </si>
  <si>
    <t>Thayer, Mrs. John Borland (Marian Longstreth Morris)</t>
  </si>
  <si>
    <t>Downton, Mr. William James</t>
  </si>
  <si>
    <t>Ross, Mr. John Hugo</t>
  </si>
  <si>
    <t>Paulner, Mr. Uscher</t>
  </si>
  <si>
    <t>Taussig, Miss. Ruth</t>
  </si>
  <si>
    <t>Jarvis, Mr. John Denzil</t>
  </si>
  <si>
    <t>Frolicher-Stehli, Mr. Maxmillian</t>
  </si>
  <si>
    <t>Gilinski, Mr. Eliezer</t>
  </si>
  <si>
    <t>Murdlin, Mr. Joseph</t>
  </si>
  <si>
    <t>Rintamaki, Mr. Matti</t>
  </si>
  <si>
    <t>Stephenson, Mrs. Walter Bertram (Martha Eustis)</t>
  </si>
  <si>
    <t>Elsbury, Mr. William James</t>
  </si>
  <si>
    <t>Bourke, Miss. Mary</t>
  </si>
  <si>
    <t>Chapman, Mr. John Henry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</si>
  <si>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</si>
  <si>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</si>
  <si>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</si>
  <si>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</si>
  <si>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</si>
  <si>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</si>
  <si>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</si>
  <si>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</si>
  <si>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</si>
  <si>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</si>
  <si>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</si>
  <si>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</si>
  <si>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</si>
  <si>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</si>
  <si>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</si>
  <si>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</si>
  <si>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</si>
  <si>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</si>
  <si>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</si>
  <si>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</si>
  <si>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</si>
  <si>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</si>
  <si>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</si>
  <si>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</si>
  <si>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</si>
  <si>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</si>
  <si>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</si>
  <si>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Nakid, Mr. Sahid</t>
  </si>
  <si>
    <t>Hansen, Mr. Henry Damsgaard</t>
  </si>
  <si>
    <t>Bowen, Mr. David John "Dai"</t>
  </si>
  <si>
    <t>Sutton, Mr. Frederick</t>
  </si>
  <si>
    <t>Kirkland, Rev. Charles Leonard</t>
  </si>
  <si>
    <t>Longley, Miss. Gretchen Fiske</t>
  </si>
  <si>
    <t>Bostandyeff, Mr. Guentcho</t>
  </si>
  <si>
    <t>O'Connell, Mr. Patrick D</t>
  </si>
  <si>
    <t>Barkworth, Mr. Algernon Henry Wilson</t>
  </si>
  <si>
    <t>Lundahl, Mr. Johan Svensson</t>
  </si>
  <si>
    <t>Stahelin-Maeglin, Dr. Max</t>
  </si>
  <si>
    <t>Parr, Mr. William Henry Marsh</t>
  </si>
  <si>
    <t>Skoog, Miss. Mabel</t>
  </si>
  <si>
    <t>Davis, Miss. Mary</t>
  </si>
  <si>
    <t>Leinonen, Mr. Antti Gustaf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</si>
  <si>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</si>
  <si>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</si>
  <si>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</si>
  <si>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</si>
  <si>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</si>
  <si>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</si>
  <si>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</si>
  <si>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</si>
  <si>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</si>
  <si>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</si>
  <si>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</si>
  <si>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Willey, Mr. Edward</t>
  </si>
  <si>
    <t>Stanley, Miss. Amy Zillah Elsie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</si>
  <si>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</si>
  <si>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</si>
  <si>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</si>
  <si>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</si>
  <si>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</si>
  <si>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</si>
  <si>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</si>
  <si>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</si>
  <si>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</si>
  <si>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</si>
  <si>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Frauenthal, Dr. Henry William</t>
  </si>
  <si>
    <t>Badt, Mr. Mohamed</t>
  </si>
  <si>
    <t>Colley, Mr. Edward Pomeroy</t>
  </si>
  <si>
    <t>Coleff, Mr. Peju</t>
  </si>
  <si>
    <t>Lindqvist, Mr. Eino William</t>
  </si>
  <si>
    <t>Hickman, Mr. Lewis</t>
  </si>
  <si>
    <t>Butler, Mr. Reginald Fenton</t>
  </si>
  <si>
    <t>Rommetvedt, Mr. Knud Paust</t>
  </si>
  <si>
    <t>Cook, Mr. Jacob</t>
  </si>
  <si>
    <t>Taylor, Mrs. Elmer Zebley (Juliet Cummins Wright)</t>
  </si>
  <si>
    <t>Brown, Mrs. Thomas William Solomon (Elizabeth Catherine Ford)</t>
  </si>
  <si>
    <t>Davidson, Mr. Thornton</t>
  </si>
  <si>
    <t>Mitchell, Mr. Henry Michael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</si>
  <si>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</si>
  <si>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</si>
  <si>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</si>
  <si>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</si>
  <si>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</si>
  <si>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</si>
  <si>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</si>
  <si>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Peters, Miss. Katie</t>
  </si>
  <si>
    <t>Hassab, Mr. Hammad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</si>
  <si>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</si>
  <si>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</si>
  <si>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</si>
  <si>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</si>
  <si>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</si>
  <si>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</si>
  <si>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</si>
  <si>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</si>
  <si>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Dick, Mr. Albert Adrian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</si>
  <si>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</si>
  <si>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</si>
  <si>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</si>
  <si>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</si>
  <si>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</si>
  <si>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</si>
  <si>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</si>
  <si>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</si>
  <si>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</si>
  <si>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Astor, Mrs. John Jacob (Madeleine Talmadge Force)</t>
  </si>
  <si>
    <t>Silverthorne, Mr. Spencer Victor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</si>
  <si>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</si>
  <si>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</si>
  <si>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</si>
  <si>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</si>
  <si>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</si>
  <si>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</si>
  <si>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Cleaver, Miss. Alice</t>
  </si>
  <si>
    <t>Moubarek, Master. Halim Gonios ("William George")</t>
  </si>
  <si>
    <t>Mayne, Mlle. Berthe Antonine ("Mrs de Villiers")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</si>
  <si>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</si>
  <si>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</si>
  <si>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</si>
  <si>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</si>
  <si>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</si>
  <si>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</si>
  <si>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</si>
  <si>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</si>
  <si>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</si>
  <si>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</si>
  <si>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</si>
  <si>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</si>
  <si>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</si>
  <si>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</si>
  <si>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</si>
  <si>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</si>
  <si>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</si>
  <si>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</si>
  <si>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</si>
  <si>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</si>
  <si>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</si>
  <si>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</si>
  <si>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</si>
  <si>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</si>
  <si>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</si>
  <si>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</si>
  <si>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</si>
  <si>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Ivanoff, Mr. Kanio</t>
  </si>
  <si>
    <t>Nankoff, Mr. Minko</t>
  </si>
  <si>
    <t>Hawksford, Mr. Walter James</t>
  </si>
  <si>
    <t>Cavendish, Mr. Tyrell William</t>
  </si>
  <si>
    <t>Ryerson, Miss. Susan Parker "Suzette"</t>
  </si>
  <si>
    <t>McNamee, Mr. Neal</t>
  </si>
  <si>
    <t>Stranden, Mr. Juho</t>
  </si>
  <si>
    <t>Crosby, Capt. Edward Gifford</t>
  </si>
  <si>
    <t>Abbott, Mr. Rossmore Edward</t>
  </si>
  <si>
    <t>Sinkkonen, Miss. Anna</t>
  </si>
  <si>
    <t>Marvin, Mr. Daniel Warner</t>
  </si>
  <si>
    <t>Connaghton, Mr. Michael</t>
  </si>
  <si>
    <t>Wells, Miss. Joan</t>
  </si>
  <si>
    <t>Moor, Master. Meier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</si>
  <si>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</si>
  <si>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</si>
  <si>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</si>
  <si>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</si>
  <si>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</si>
  <si>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</si>
  <si>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</si>
  <si>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</si>
  <si>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</si>
  <si>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</si>
  <si>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Barah, Mr. Hanna Assi</t>
  </si>
  <si>
    <t>Carter, Mrs. William Ernest (Lucile Polk)</t>
  </si>
  <si>
    <t>Eklund, Mr. Hans Linus</t>
  </si>
  <si>
    <t>Hogeboom, Mrs. John C (Anna Andrews)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</si>
  <si>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</si>
  <si>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</si>
  <si>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</si>
  <si>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</si>
  <si>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</si>
  <si>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</si>
  <si>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</si>
  <si>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Elias, Mr. Dibo</t>
  </si>
  <si>
    <t>Hocking, Mrs. Elizabeth (Eliza Needs)</t>
  </si>
  <si>
    <t>Myhrman, Mr. Pehr Fabian Oliver Malkolm</t>
  </si>
  <si>
    <t>Tobin, Mr. Roger</t>
  </si>
  <si>
    <t>Emanuel, Miss. Virginia Ethel</t>
  </si>
  <si>
    <t>Kilgannon, Mr. Thomas J</t>
  </si>
  <si>
    <t>Robert, Mrs. Edward Scott (Elisabeth Walton McMillan)</t>
  </si>
  <si>
    <t>Ayoub, Miss. Banoura</t>
  </si>
  <si>
    <t>Dick, Mrs. Albert Adrian (Vera Gillespie)</t>
  </si>
  <si>
    <t>Long, Mr. Milton Clyde</t>
  </si>
  <si>
    <t>Johnston, Mr. Andrew G</t>
  </si>
  <si>
    <t>Ali, Mr. William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</si>
  <si>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</si>
  <si>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</si>
  <si>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</si>
  <si>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</si>
  <si>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</si>
  <si>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Keane, Mr. Andrew "Andy"</t>
  </si>
  <si>
    <t>Gaskell, Mr. Alfred</t>
  </si>
  <si>
    <t>Sage, Miss. Stella Anna</t>
  </si>
  <si>
    <t>Hoyt, Mr. William Fisher</t>
  </si>
  <si>
    <t>Dantcheff, Mr. Ristiu</t>
  </si>
  <si>
    <t>Otter, Mr. Richard</t>
  </si>
  <si>
    <t>Leader, Dr. Alice (Farnham)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</si>
  <si>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</si>
  <si>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</si>
  <si>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</si>
  <si>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</si>
  <si>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</si>
  <si>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</si>
  <si>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</si>
  <si>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</si>
  <si>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</si>
  <si>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</si>
  <si>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</si>
  <si>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</si>
  <si>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</si>
  <si>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</si>
  <si>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</si>
  <si>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</si>
  <si>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</si>
  <si>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</si>
  <si>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</si>
  <si>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Heininen, Miss. Wendla Maria</t>
  </si>
  <si>
    <t>Mallet, Mr. Albert</t>
  </si>
  <si>
    <t>Holm, Mr. John Fredrik Alexander</t>
  </si>
  <si>
    <t>Skoog, Master. Karl Thorsten</t>
  </si>
  <si>
    <t>Hays, Mrs. Charles Melville (Clara Jennings Gregg)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</si>
  <si>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</si>
  <si>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</si>
  <si>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</si>
  <si>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</si>
  <si>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</si>
  <si>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</si>
  <si>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</si>
  <si>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</si>
  <si>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</si>
  <si>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</si>
  <si>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</si>
  <si>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</si>
  <si>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</si>
  <si>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</si>
  <si>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</si>
  <si>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Pasic, Mr. Jakob</t>
  </si>
  <si>
    <t>Sirota, Mr. Maurice</t>
  </si>
  <si>
    <t>Chip, Mr. Chang</t>
  </si>
  <si>
    <t>Marechal, Mr. Pierre</t>
  </si>
  <si>
    <t>Alhomaki, Mr. Ilmari Rudolf</t>
  </si>
  <si>
    <t>Mudd, Mr. Thomas Charles</t>
  </si>
  <si>
    <t>Serepeca, Miss. Augusta</t>
  </si>
  <si>
    <t>Lemberopolous, Mr. Peter L</t>
  </si>
  <si>
    <t>Culumovic, Mr. Jeso</t>
  </si>
  <si>
    <t>Abbing, Mr. Anthony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</si>
  <si>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</si>
  <si>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</si>
  <si>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</si>
  <si>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</si>
  <si>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</si>
  <si>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</si>
  <si>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</si>
  <si>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</si>
  <si>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</si>
  <si>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</si>
  <si>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</si>
  <si>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</si>
  <si>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</si>
  <si>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</si>
  <si>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</si>
  <si>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</si>
  <si>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</si>
  <si>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</si>
  <si>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</si>
  <si>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</si>
  <si>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</si>
  <si>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Roebling, Mr. Washington Augustus II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</si>
  <si>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</si>
  <si>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</si>
  <si>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</si>
  <si>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</si>
  <si>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</si>
  <si>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</si>
  <si>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</si>
  <si>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</si>
  <si>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</si>
  <si>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</si>
  <si>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</si>
  <si>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</si>
  <si>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Shelley, Mrs. William (Imanita Parrish Hall)</t>
  </si>
  <si>
    <t>Markun, Mr. Johann</t>
  </si>
  <si>
    <t>Dahlberg, Miss. Gerda Ulrika</t>
  </si>
  <si>
    <t>Banfield, Mr. Frederick James</t>
  </si>
  <si>
    <t>Sutehall, Mr. Henry Jr</t>
  </si>
  <si>
    <t>Rice, Mrs. William (Margaret Norton)</t>
  </si>
  <si>
    <t>Montvila, Rev. Juozas</t>
  </si>
  <si>
    <t>Graham, Miss. Margaret Edith</t>
  </si>
  <si>
    <t>Johnston, Miss. Catherine Helen "Carrie"</t>
  </si>
  <si>
    <t>Behr, Mr. Karl Howell</t>
  </si>
  <si>
    <t>Dooley, Mr. Patrick</t>
  </si>
  <si>
    <t>Grand Total</t>
  </si>
  <si>
    <t>Sum of Survived</t>
  </si>
  <si>
    <t>Count of Fare</t>
  </si>
  <si>
    <t>Average of Survived</t>
  </si>
  <si>
    <t>Average of Fare</t>
  </si>
  <si>
    <t>This shows price differences</t>
  </si>
  <si>
    <t>(blank)</t>
  </si>
  <si>
    <t>survival by port and gender</t>
  </si>
  <si>
    <t>This shows female and male survival 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</si>
</sst>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pivotButton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1" xfId="0" applyBorder="1" applyAlignment="1">
      <alignment horizontal="left"/>
    </xf>
    <xf numFmtId="0" fontId="0" fillId="0" borderId="10" xfId="0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45BAC4"/>
      <color rgb="FFF578F1"/>
      <color rgb="FFE09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[Titanic_excel.xlsx.xlsx]Survival by Gender!PivotTable1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203764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Surival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203764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9BC2E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578F1"/>
          </a:solidFill>
          <a:ln>
            <a:solidFill>
              <a:srgbClr val="E090F0"/>
            </a:solidFill>
            <a:prstDash val="solid"/>
          </a:ln>
          <a:effectLst/>
        </c:spPr>
      </c:pivotFmt>
      <c:pivotFmt>
        <c:idx val="5"/>
        <c:spPr>
          <a:solidFill>
            <a:srgbClr val="F578F1"/>
          </a:solidFill>
          <a:ln>
            <a:solidFill>
              <a:srgbClr val="E090F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'Survival by Gender'!$B$3:$B$4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F578F1"/>
            </a:solidFill>
            <a:ln>
              <a:solidFill>
                <a:srgbClr val="E090F0"/>
              </a:solidFill>
              <a:prstDash val="solid"/>
            </a:ln>
            <a:effectLst/>
          </c:spPr>
          <c:invertIfNegative val="0"/>
          <c:cat>
            <c:strRef>
              <c:f>'Survival by Gender'!$A$5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'Survival by Gender'!$B$5</c:f>
              <c:numCache>
                <c:formatCode>General</c:formatCode>
                <c:ptCount val="1"/>
                <c:pt idx="0">
                  <c:v>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A1-4AA2-A1FD-D329F7F6D9DA}"/>
            </c:ext>
          </c:extLst>
        </c:ser>
        <c:ser>
          <c:idx val="1"/>
          <c:order val="1"/>
          <c:tx>
            <c:strRef>
              <c:f>'Survival by Gender'!$C$3:$C$4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9BC2E6"/>
            </a:solidFill>
            <a:ln>
              <a:noFill/>
            </a:ln>
            <a:effectLst/>
          </c:spPr>
          <c:invertIfNegative val="0"/>
          <c:cat>
            <c:strRef>
              <c:f>'Survival by Gender'!$A$5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'Survival by Gender'!$C$5</c:f>
              <c:numCache>
                <c:formatCode>General</c:formatCode>
                <c:ptCount val="1"/>
                <c:pt idx="0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A1-4AA2-A1FD-D329F7F6D9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86509063"/>
        <c:axId val="486516231"/>
      </c:barChart>
      <c:catAx>
        <c:axId val="4865090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516231"/>
        <c:crosses val="autoZero"/>
        <c:auto val="1"/>
        <c:lblAlgn val="ctr"/>
        <c:lblOffset val="100"/>
        <c:noMultiLvlLbl val="0"/>
      </c:catAx>
      <c:valAx>
        <c:axId val="486516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203764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509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[Titanic_excel.xlsx.xlsx]Average Fare by Class!PivotTable2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203764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Fare By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203764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'Average Fare by Class'!$B$3:$B$4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'Average Fare by Class'!$A$5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'Average Fare by Class'!$B$5</c:f>
              <c:numCache>
                <c:formatCode>General</c:formatCode>
                <c:ptCount val="1"/>
                <c:pt idx="0">
                  <c:v>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F3-B8BF-4259-8DE5-7A2A31E21F05}"/>
            </c:ext>
          </c:extLst>
        </c:ser>
        <c:ser>
          <c:idx val="1"/>
          <c:order val="1"/>
          <c:tx>
            <c:strRef>
              <c:f>'Average Fare by Class'!$C$3:$C$4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'Average Fare by Class'!$A$5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'Average Fare by Class'!$C$5</c:f>
              <c:numCache>
                <c:formatCode>General</c:formatCode>
                <c:ptCount val="1"/>
                <c:pt idx="0">
                  <c:v>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F4-B8BF-4259-8DE5-7A2A31E21F05}"/>
            </c:ext>
          </c:extLst>
        </c:ser>
        <c:ser>
          <c:idx val="2"/>
          <c:order val="2"/>
          <c:tx>
            <c:strRef>
              <c:f>'Average Fare by Class'!$D$3:$D$4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'Average Fare by Class'!$A$5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'Average Fare by Class'!$D$5</c:f>
              <c:numCache>
                <c:formatCode>General</c:formatCode>
                <c:ptCount val="1"/>
                <c:pt idx="0">
                  <c:v>491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F5-B8BF-4259-8DE5-7A2A31E21F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0992903"/>
        <c:axId val="790994951"/>
      </c:barChart>
      <c:catAx>
        <c:axId val="790992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0994951"/>
        <c:crosses val="autoZero"/>
        <c:auto val="1"/>
        <c:lblAlgn val="ctr"/>
        <c:lblOffset val="100"/>
        <c:noMultiLvlLbl val="0"/>
      </c:catAx>
      <c:valAx>
        <c:axId val="790994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203764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0992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203764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[Titanic_excel.xlsx.xlsx]Embarked Survival!PivotTable4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203764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Survival rate by embark location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203764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45BAC4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7030A0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E090F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'Embarked Survival'!$B$2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199-4B0A-B4A4-DB96B16F2FD7}"/>
              </c:ext>
            </c:extLst>
          </c:dPt>
          <c:dPt>
            <c:idx val="1"/>
            <c:bubble3D val="0"/>
            <c:spPr>
              <a:solidFill>
                <a:srgbClr val="E09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3199-4B0A-B4A4-DB96B16F2FD7}"/>
              </c:ext>
            </c:extLst>
          </c:dPt>
          <c:dPt>
            <c:idx val="2"/>
            <c:bubble3D val="0"/>
            <c:spPr>
              <a:solidFill>
                <a:srgbClr val="45BAC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3199-4B0A-B4A4-DB96B16F2FD7}"/>
              </c:ext>
            </c:extLst>
          </c:dPt>
          <c:cat>
            <c:strRef>
              <c:f>'Embarked Survival'!$A$3:$A$6</c:f>
              <c:strCache>
                <c:ptCount val="3"/>
                <c:pt idx="0">
                  <c:v>C</c:v>
                </c:pt>
                <c:pt idx="1">
                  <c:v>Q</c:v>
                </c:pt>
                <c:pt idx="2">
                  <c:v>S</c:v>
                </c:pt>
              </c:strCache>
            </c:strRef>
          </c:cat>
          <c:val>
            <c:numRef>
              <c:f>'Embarked Survival'!$B$3:$B$6</c:f>
              <c:numCache>
                <c:formatCode>General</c:formatCode>
                <c:ptCount val="3"/>
                <c:pt idx="0">
                  <c:v>0.5535714285714286</c:v>
                </c:pt>
                <c:pt idx="1">
                  <c:v>0.38961038961038963</c:v>
                </c:pt>
                <c:pt idx="2">
                  <c:v>0.33695652173913043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199-4B0A-B4A4-DB96B16F2F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rgbClr val="203764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2</xdr:row>
      <xdr:rowOff>0</xdr:rowOff>
    </xdr:from>
    <xdr:to>
      <xdr:col>9</xdr:col>
      <xdr:colOff>561975</xdr:colOff>
      <xdr:row>16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AAED1A-11F5-1A8A-1D7D-556CF20739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285750</xdr:colOff>
      <xdr:row>1</xdr:row>
      <xdr:rowOff>66675</xdr:rowOff>
    </xdr:from>
    <xdr:to>
      <xdr:col>12</xdr:col>
      <xdr:colOff>190500</xdr:colOff>
      <xdr:row>15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DBB754-3076-E9C3-9E62-A9C0AC5814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161925</xdr:colOff>
      <xdr:row>0</xdr:row>
      <xdr:rowOff>171450</xdr:rowOff>
    </xdr:from>
    <xdr:to>
      <xdr:col>9</xdr:col>
      <xdr:colOff>457200</xdr:colOff>
      <xdr:row>15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2FC1C2-0C3D-412E-B811-733338CB3E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20.745920486108" createdVersion="8" refreshedVersion="8" minRefreshableVersion="3" recordCount="892" xr:uid="{CA98DFC7-5711-4300-BDBD-79968ADD4422}">
  <cacheSource type="worksheet">
    <worksheetSource ref="A1:I1048576" sheet="Data"/>
  </cacheSource>
  <cacheFields count="9">
    <cacheField name="Survived" numFmtId="0">
      <sharedItems containsString="0" containsBlank="1" containsNumber="1" containsInteger="1" minValue="0" maxValue="1"/>
    </cacheField>
    <cacheField name="Pclass" numFmtId="0">
      <sharedItems containsString="0" containsBlank="1" containsNumber="1" containsInteger="1" minValue="1" maxValue="3" count="4">
        <n v="3"/>
        <n v="1"/>
        <n v="2"/>
        <m/>
      </sharedItems>
    </cacheField>
    <cacheField name="Name" numFmtId="0">
      <sharedItems containsBlank="1"/>
    </cacheField>
    <cacheField name="Sex" numFmtId="0">
      <sharedItems containsBlank="1" count="3">
        <s v="male"/>
        <s v="female"/>
        <m/>
      </sharedItems>
    </cacheField>
    <cacheField name="Age" numFmtId="0">
      <sharedItems containsString="0" containsBlank="1" containsNumber="1" minValue="0.42" maxValue="80"/>
    </cacheField>
    <cacheField name="SibSp" numFmtId="0">
      <sharedItems containsString="0" containsBlank="1" containsNumber="1" containsInteger="1" minValue="0" maxValue="8"/>
    </cacheField>
    <cacheField name="Parch" numFmtId="0">
      <sharedItems containsString="0" containsBlank="1" containsNumber="1" containsInteger="1" minValue="0" maxValue="6"/>
    </cacheField>
    <cacheField name="Fare" numFmtId="0">
      <sharedItems containsString="0" containsBlank="1" containsNumber="1" minValue="0" maxValue="512.32920000000001"/>
    </cacheField>
    <cacheField name="Embarked" numFmtId="0">
      <sharedItems containsBlank="1" count="4">
        <s v="S"/>
        <s v="C"/>
        <s v="Q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21.71952233796" createdVersion="8" refreshedVersion="8" minRefreshableVersion="3" recordCount="892" xr:uid="{EA229CF0-17DD-4D9B-9C5A-579B6D2E59D7}">
  <cacheSource type="worksheet">
    <worksheetSource ref="A1:L1048576" sheet="Data"/>
  </cacheSource>
  <cacheFields count="12">
    <cacheField name="Survived" numFmtId="0">
      <sharedItems containsString="0" containsBlank="1" containsNumber="1" containsInteger="1" minValue="0" maxValue="1" count="3">
        <n v="0"/>
        <n v="1"/>
        <m/>
      </sharedItems>
    </cacheField>
    <cacheField name="Pclass" numFmtId="0">
      <sharedItems containsString="0" containsBlank="1" containsNumber="1" containsInteger="1" minValue="1" maxValue="3" count="4">
        <n v="3"/>
        <n v="1"/>
        <n v="2"/>
        <m/>
      </sharedItems>
    </cacheField>
    <cacheField name="Name" numFmtId="0">
      <sharedItems containsBlank="1"/>
    </cacheField>
    <cacheField name="Sex" numFmtId="0">
      <sharedItems containsBlank="1" count="3">
        <s v="male"/>
        <s v="female"/>
        <m/>
      </sharedItems>
    </cacheField>
    <cacheField name="Age" numFmtId="0">
      <sharedItems containsString="0" containsBlank="1" containsNumber="1" minValue="0.42" maxValue="80"/>
    </cacheField>
    <cacheField name="SibSp" numFmtId="0">
      <sharedItems containsString="0" containsBlank="1" containsNumber="1" containsInteger="1" minValue="0" maxValue="8"/>
    </cacheField>
    <cacheField name="Parch" numFmtId="0">
      <sharedItems containsString="0" containsBlank="1" containsNumber="1" containsInteger="1" minValue="0" maxValue="6"/>
    </cacheField>
    <cacheField name="Fare" numFmtId="0">
      <sharedItems containsString="0" containsBlank="1" containsNumber="1" minValue="0" maxValue="512.32920000000001"/>
    </cacheField>
    <cacheField name="Embarked" numFmtId="0">
      <sharedItems containsBlank="1" count="4">
        <s v="S"/>
        <s v="C"/>
        <s v="Q"/>
        <m/>
      </sharedItems>
    </cacheField>
    <cacheField name="Age Group" numFmtId="0">
      <sharedItems containsBlank="1"/>
    </cacheField>
    <cacheField name="High Fare" numFmtId="0">
      <sharedItems containsBlank="1"/>
    </cacheField>
    <cacheField name="Family Size" numFmtId="0">
      <sharedItems containsString="0" containsBlank="1" containsNumber="1" containsInteger="1" minValue="1" maxValue="1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2">
  <r>
    <n v="0"/>
    <x v="0"/>
    <s v="Braund, Mr. Owen Harris"/>
    <x v="0"/>
    <n v="22"/>
    <n v="1"/>
    <n v="0"/>
    <n v="7.25"/>
    <x v="0"/>
  </r>
  <r>
    <n v="1"/>
    <x v="1"/>
    <s v="Cumings, Mrs. John Bradley (Florence Briggs Thayer)"/>
    <x v="1"/>
    <n v="38"/>
    <n v="1"/>
    <n v="0"/>
    <n v="71.283299999999997"/>
    <x v="1"/>
  </r>
  <r>
    <n v="1"/>
    <x v="0"/>
    <s v="Heikkinen, Miss. Laina"/>
    <x v="1"/>
    <n v="26"/>
    <n v="0"/>
    <n v="0"/>
    <n v="7.9249999999999998"/>
    <x v="0"/>
  </r>
  <r>
    <n v="1"/>
    <x v="1"/>
    <s v="Futrelle, Mrs. Jacques Heath (Lily May Peel)"/>
    <x v="1"/>
    <n v="35"/>
    <n v="1"/>
    <n v="0"/>
    <n v="53.1"/>
    <x v="0"/>
  </r>
  <r>
    <n v="0"/>
    <x v="0"/>
    <s v="Allen, Mr. William Henry"/>
    <x v="0"/>
    <n v="35"/>
    <n v="0"/>
    <n v="0"/>
    <n v="8.0500000000000007"/>
    <x v="0"/>
  </r>
  <r>
    <n v="0"/>
    <x v="0"/>
    <s v="Moran, Mr. James"/>
    <x v="0"/>
    <m/>
    <n v="0"/>
    <n v="0"/>
    <n v="8.4582999999999995"/>
    <x v="2"/>
  </r>
  <r>
    <n v="0"/>
    <x v="1"/>
    <s v="McCarthy, Mr. Timothy J"/>
    <x v="0"/>
    <n v="54"/>
    <n v="0"/>
    <n v="0"/>
    <n v="51.862499999999997"/>
    <x v="0"/>
  </r>
  <r>
    <n v="0"/>
    <x v="0"/>
    <s v="Palsson, Master. Gosta Leonard"/>
    <x v="0"/>
    <n v="2"/>
    <n v="3"/>
    <n v="1"/>
    <n v="21.074999999999999"/>
    <x v="0"/>
  </r>
  <r>
    <n v="1"/>
    <x v="0"/>
    <s v="Johnson, Mrs. Oscar W (Elisabeth Vilhelmina Berg)"/>
    <x v="1"/>
    <n v="27"/>
    <n v="0"/>
    <n v="2"/>
    <n v="11.1333"/>
    <x v="0"/>
  </r>
  <r>
    <n v="1"/>
    <x v="2"/>
    <s v="Nasser, Mrs. Nicholas (Adele Achem)"/>
    <x v="1"/>
    <n v="14"/>
    <n v="1"/>
    <n v="0"/>
    <n v="30.070799999999998"/>
    <x v="1"/>
  </r>
  <r>
    <n v="1"/>
    <x v="0"/>
    <s v="Sandstrom, Miss. Marguerite Rut"/>
    <x v="1"/>
    <n v="4"/>
    <n v="1"/>
    <n v="1"/>
    <n v="16.7"/>
    <x v="0"/>
  </r>
  <r>
    <n v="1"/>
    <x v="1"/>
    <s v="Bonnell, Miss. Elizabeth"/>
    <x v="1"/>
    <n v="58"/>
    <n v="0"/>
    <n v="0"/>
    <n v="26.55"/>
    <x v="0"/>
  </r>
  <r>
    <n v="0"/>
    <x v="0"/>
    <s v="Saundercock, Mr. William Henry"/>
    <x v="0"/>
    <n v="20"/>
    <n v="0"/>
    <n v="0"/>
    <n v="8.0500000000000007"/>
    <x v="0"/>
  </r>
  <r>
    <n v="0"/>
    <x v="0"/>
    <s v="Andersson, Mr. Anders Johan"/>
    <x v="0"/>
    <n v="39"/>
    <n v="1"/>
    <n v="5"/>
    <n v="31.274999999999999"/>
    <x v="0"/>
  </r>
  <r>
    <n v="0"/>
    <x v="0"/>
    <s v="Vestrom, Miss. Hulda Amanda Adolfina"/>
    <x v="1"/>
    <n v="14"/>
    <n v="0"/>
    <n v="0"/>
    <n v="7.8541999999999996"/>
    <x v="0"/>
  </r>
  <r>
    <n v="1"/>
    <x v="2"/>
    <s v="Hewlett, Mrs. (Mary D Kingcome) "/>
    <x v="1"/>
    <n v="55"/>
    <n v="0"/>
    <n v="0"/>
    <n v="16"/>
    <x v="0"/>
  </r>
  <r>
    <n v="0"/>
    <x v="0"/>
    <s v="Rice, Master. Eugene"/>
    <x v="0"/>
    <n v="2"/>
    <n v="4"/>
    <n v="1"/>
    <n v="29.125"/>
    <x v="2"/>
  </r>
  <r>
    <n v="1"/>
    <x v="2"/>
    <s v="Williams, Mr. Charles Eugene"/>
    <x v="0"/>
    <m/>
    <n v="0"/>
    <n v="0"/>
    <n v="13"/>
    <x v="0"/>
  </r>
  <r>
    <n v="0"/>
    <x v="0"/>
    <s v="Vander Planke, Mrs. Julius (Emelia Maria Vandemoortele)"/>
    <x v="1"/>
    <n v="31"/>
    <n v="1"/>
    <n v="0"/>
    <n v="18"/>
    <x v="0"/>
  </r>
  <r>
    <n v="1"/>
    <x v="0"/>
    <s v="Masselmani, Mrs. Fatima"/>
    <x v="1"/>
    <m/>
    <n v="0"/>
    <n v="0"/>
    <n v="7.2249999999999996"/>
    <x v="1"/>
  </r>
  <r>
    <n v="0"/>
    <x v="2"/>
    <s v="Fynney, Mr. Joseph J"/>
    <x v="0"/>
    <n v="35"/>
    <n v="0"/>
    <n v="0"/>
    <n v="26"/>
    <x v="0"/>
  </r>
  <r>
    <n v="1"/>
    <x v="2"/>
    <s v="Beesley, Mr. Lawrence"/>
    <x v="0"/>
    <n v="34"/>
    <n v="0"/>
    <n v="0"/>
    <n v="13"/>
    <x v="0"/>
  </r>
  <r>
    <n v="1"/>
    <x v="0"/>
    <s v="McGowan, Miss. Anna &quot;Annie&quot;"/>
    <x v="1"/>
    <n v="15"/>
    <n v="0"/>
    <n v="0"/>
    <n v="8.0291999999999994"/>
    <x v="2"/>
  </r>
  <r>
    <n v="1"/>
    <x v="1"/>
    <s v="Sloper, Mr. William Thompson"/>
    <x v="0"/>
    <n v="28"/>
    <n v="0"/>
    <n v="0"/>
    <n v="35.5"/>
    <x v="0"/>
  </r>
  <r>
    <n v="0"/>
    <x v="0"/>
    <s v="Palsson, Miss. Torborg Danira"/>
    <x v="1"/>
    <n v="8"/>
    <n v="3"/>
    <n v="1"/>
    <n v="21.074999999999999"/>
    <x v="0"/>
  </r>
  <r>
    <n v="1"/>
    <x v="0"/>
    <s v="Asplund, Mrs. Carl Oscar (Selma Augusta Emilia Johansson)"/>
    <x v="1"/>
    <n v="38"/>
    <n v="1"/>
    <n v="5"/>
    <n v="31.387499999999999"/>
    <x v="0"/>
  </r>
  <r>
    <n v="0"/>
    <x v="0"/>
    <s v="Emir, Mr. Farred Chehab"/>
    <x v="0"/>
    <m/>
    <n v="0"/>
    <n v="0"/>
    <n v="7.2249999999999996"/>
    <x v="1"/>
  </r>
  <r>
    <n v="0"/>
    <x v="1"/>
    <s v="Fortune, Mr. Charles Alexander"/>
    <x v="0"/>
    <n v="19"/>
    <n v="3"/>
    <n v="2"/>
    <n v="263"/>
    <x v="0"/>
  </r>
  <r>
    <n v="1"/>
    <x v="0"/>
    <s v="O'Dwyer, Miss. Ellen &quot;Nellie&quot;"/>
    <x v="1"/>
    <m/>
    <n v="0"/>
    <n v="0"/>
    <n v="7.8792"/>
    <x v="2"/>
  </r>
  <r>
    <n v="0"/>
    <x v="0"/>
    <s v="Todoroff, Mr. Lalio"/>
    <x v="0"/>
    <m/>
    <n v="0"/>
    <n v="0"/>
    <n v="7.8958000000000004"/>
    <x v="0"/>
  </r>
  <r>
    <n v="0"/>
    <x v="1"/>
    <s v="Uruchurtu, Don. Manuel E"/>
    <x v="0"/>
    <n v="40"/>
    <n v="0"/>
    <n v="0"/>
    <n v="27.720800000000001"/>
    <x v="1"/>
  </r>
  <r>
    <n v="1"/>
    <x v="1"/>
    <s v="Spencer, Mrs. William Augustus (Marie Eugenie)"/>
    <x v="1"/>
    <m/>
    <n v="1"/>
    <n v="0"/>
    <n v="146.52080000000001"/>
    <x v="1"/>
  </r>
  <r>
    <n v="1"/>
    <x v="0"/>
    <s v="Glynn, Miss. Mary Agatha"/>
    <x v="1"/>
    <m/>
    <n v="0"/>
    <n v="0"/>
    <n v="7.75"/>
    <x v="2"/>
  </r>
  <r>
    <n v="0"/>
    <x v="2"/>
    <s v="Wheadon, Mr. Edward H"/>
    <x v="0"/>
    <n v="66"/>
    <n v="0"/>
    <n v="0"/>
    <n v="10.5"/>
    <x v="0"/>
  </r>
  <r>
    <n v="0"/>
    <x v="1"/>
    <s v="Meyer, Mr. Edgar Joseph"/>
    <x v="0"/>
    <n v="28"/>
    <n v="1"/>
    <n v="0"/>
    <n v="82.1708"/>
    <x v="1"/>
  </r>
  <r>
    <n v="0"/>
    <x v="1"/>
    <s v="Holverson, Mr. Alexander Oskar"/>
    <x v="0"/>
    <n v="42"/>
    <n v="1"/>
    <n v="0"/>
    <n v="52"/>
    <x v="0"/>
  </r>
  <r>
    <n v="1"/>
    <x v="0"/>
    <s v="Mamee, Mr. Hanna"/>
    <x v="0"/>
    <m/>
    <n v="0"/>
    <n v="0"/>
    <n v="7.2291999999999996"/>
    <x v="1"/>
  </r>
  <r>
    <n v="0"/>
    <x v="0"/>
    <s v="Cann, Mr. Ernest Charles"/>
    <x v="0"/>
    <n v="21"/>
    <n v="0"/>
    <n v="0"/>
    <n v="8.0500000000000007"/>
    <x v="0"/>
  </r>
  <r>
    <n v="0"/>
    <x v="0"/>
    <s v="Vander Planke, Miss. Augusta Maria"/>
    <x v="1"/>
    <n v="18"/>
    <n v="2"/>
    <n v="0"/>
    <n v="18"/>
    <x v="0"/>
  </r>
  <r>
    <n v="1"/>
    <x v="0"/>
    <s v="Nicola-Yarred, Miss. Jamila"/>
    <x v="1"/>
    <n v="14"/>
    <n v="1"/>
    <n v="0"/>
    <n v="11.2417"/>
    <x v="1"/>
  </r>
  <r>
    <n v="0"/>
    <x v="0"/>
    <s v="Ahlin, Mrs. Johan (Johanna Persdotter Larsson)"/>
    <x v="1"/>
    <n v="40"/>
    <n v="1"/>
    <n v="0"/>
    <n v="9.4749999999999996"/>
    <x v="0"/>
  </r>
  <r>
    <n v="0"/>
    <x v="2"/>
    <s v="Turpin, Mrs. William John Robert (Dorothy Ann Wonnacott)"/>
    <x v="1"/>
    <n v="27"/>
    <n v="1"/>
    <n v="0"/>
    <n v="21"/>
    <x v="0"/>
  </r>
  <r>
    <n v="0"/>
    <x v="0"/>
    <s v="Kraeff, Mr. Theodor"/>
    <x v="0"/>
    <m/>
    <n v="0"/>
    <n v="0"/>
    <n v="7.8958000000000004"/>
    <x v="1"/>
  </r>
  <r>
    <n v="1"/>
    <x v="2"/>
    <s v="Laroche, Miss. Simonne Marie Anne Andree"/>
    <x v="1"/>
    <n v="3"/>
    <n v="1"/>
    <n v="2"/>
    <n v="41.5792"/>
    <x v="1"/>
  </r>
  <r>
    <n v="1"/>
    <x v="0"/>
    <s v="Devaney, Miss. Margaret Delia"/>
    <x v="1"/>
    <n v="19"/>
    <n v="0"/>
    <n v="0"/>
    <n v="7.8792"/>
    <x v="2"/>
  </r>
  <r>
    <n v="0"/>
    <x v="0"/>
    <s v="Rogers, Mr. William John"/>
    <x v="0"/>
    <m/>
    <n v="0"/>
    <n v="0"/>
    <n v="8.0500000000000007"/>
    <x v="0"/>
  </r>
  <r>
    <n v="0"/>
    <x v="0"/>
    <s v="Lennon, Mr. Denis"/>
    <x v="0"/>
    <m/>
    <n v="1"/>
    <n v="0"/>
    <n v="15.5"/>
    <x v="2"/>
  </r>
  <r>
    <n v="1"/>
    <x v="0"/>
    <s v="O'Driscoll, Miss. Bridget"/>
    <x v="1"/>
    <m/>
    <n v="0"/>
    <n v="0"/>
    <n v="7.75"/>
    <x v="2"/>
  </r>
  <r>
    <n v="0"/>
    <x v="0"/>
    <s v="Samaan, Mr. Youssef"/>
    <x v="0"/>
    <m/>
    <n v="2"/>
    <n v="0"/>
    <n v="21.679200000000002"/>
    <x v="1"/>
  </r>
  <r>
    <n v="0"/>
    <x v="0"/>
    <s v="Arnold-Franchi, Mrs. Josef (Josefine Franchi)"/>
    <x v="1"/>
    <n v="18"/>
    <n v="1"/>
    <n v="0"/>
    <n v="17.8"/>
    <x v="0"/>
  </r>
  <r>
    <n v="0"/>
    <x v="0"/>
    <s v="Panula, Master. Juha Niilo"/>
    <x v="0"/>
    <n v="7"/>
    <n v="4"/>
    <n v="1"/>
    <n v="39.6875"/>
    <x v="0"/>
  </r>
  <r>
    <n v="0"/>
    <x v="0"/>
    <s v="Nosworthy, Mr. Richard Cater"/>
    <x v="0"/>
    <n v="21"/>
    <n v="0"/>
    <n v="0"/>
    <n v="7.8"/>
    <x v="0"/>
  </r>
  <r>
    <n v="1"/>
    <x v="1"/>
    <s v="Harper, Mrs. Henry Sleeper (Myna Haxtun)"/>
    <x v="1"/>
    <n v="49"/>
    <n v="1"/>
    <n v="0"/>
    <n v="76.729200000000006"/>
    <x v="1"/>
  </r>
  <r>
    <n v="1"/>
    <x v="2"/>
    <s v="Faunthorpe, Mrs. Lizzie (Elizabeth Anne Wilkinson)"/>
    <x v="1"/>
    <n v="29"/>
    <n v="1"/>
    <n v="0"/>
    <n v="26"/>
    <x v="0"/>
  </r>
  <r>
    <n v="0"/>
    <x v="1"/>
    <s v="Ostby, Mr. Engelhart Cornelius"/>
    <x v="0"/>
    <n v="65"/>
    <n v="0"/>
    <n v="1"/>
    <n v="61.979199999999999"/>
    <x v="1"/>
  </r>
  <r>
    <n v="1"/>
    <x v="1"/>
    <s v="Woolner, Mr. Hugh"/>
    <x v="0"/>
    <m/>
    <n v="0"/>
    <n v="0"/>
    <n v="35.5"/>
    <x v="0"/>
  </r>
  <r>
    <n v="1"/>
    <x v="2"/>
    <s v="Rugg, Miss. Emily"/>
    <x v="1"/>
    <n v="21"/>
    <n v="0"/>
    <n v="0"/>
    <n v="10.5"/>
    <x v="0"/>
  </r>
  <r>
    <n v="0"/>
    <x v="0"/>
    <s v="Novel, Mr. Mansouer"/>
    <x v="0"/>
    <n v="28.5"/>
    <n v="0"/>
    <n v="0"/>
    <n v="7.2291999999999996"/>
    <x v="1"/>
  </r>
  <r>
    <n v="1"/>
    <x v="2"/>
    <s v="West, Miss. Constance Mirium"/>
    <x v="1"/>
    <n v="5"/>
    <n v="1"/>
    <n v="2"/>
    <n v="27.75"/>
    <x v="0"/>
  </r>
  <r>
    <n v="0"/>
    <x v="0"/>
    <s v="Goodwin, Master. William Frederick"/>
    <x v="0"/>
    <n v="11"/>
    <n v="5"/>
    <n v="2"/>
    <n v="46.9"/>
    <x v="0"/>
  </r>
  <r>
    <n v="0"/>
    <x v="0"/>
    <s v="Sirayanian, Mr. Orsen"/>
    <x v="0"/>
    <n v="22"/>
    <n v="0"/>
    <n v="0"/>
    <n v="7.2291999999999996"/>
    <x v="1"/>
  </r>
  <r>
    <n v="1"/>
    <x v="1"/>
    <s v="Icard, Miss. Amelie"/>
    <x v="1"/>
    <n v="38"/>
    <n v="0"/>
    <n v="0"/>
    <n v="80"/>
    <x v="3"/>
  </r>
  <r>
    <n v="0"/>
    <x v="1"/>
    <s v="Harris, Mr. Henry Birkhardt"/>
    <x v="0"/>
    <n v="45"/>
    <n v="1"/>
    <n v="0"/>
    <n v="83.474999999999994"/>
    <x v="0"/>
  </r>
  <r>
    <n v="0"/>
    <x v="0"/>
    <s v="Skoog, Master. Harald"/>
    <x v="0"/>
    <n v="4"/>
    <n v="3"/>
    <n v="2"/>
    <n v="27.9"/>
    <x v="0"/>
  </r>
  <r>
    <n v="0"/>
    <x v="1"/>
    <s v="Stewart, Mr. Albert A"/>
    <x v="0"/>
    <m/>
    <n v="0"/>
    <n v="0"/>
    <n v="27.720800000000001"/>
    <x v="1"/>
  </r>
  <r>
    <n v="1"/>
    <x v="0"/>
    <s v="Moubarek, Master. Gerios"/>
    <x v="0"/>
    <m/>
    <n v="1"/>
    <n v="1"/>
    <n v="15.245799999999999"/>
    <x v="1"/>
  </r>
  <r>
    <n v="1"/>
    <x v="2"/>
    <s v="Nye, Mrs. (Elizabeth Ramell)"/>
    <x v="1"/>
    <n v="29"/>
    <n v="0"/>
    <n v="0"/>
    <n v="10.5"/>
    <x v="0"/>
  </r>
  <r>
    <n v="0"/>
    <x v="0"/>
    <s v="Crease, Mr. Ernest James"/>
    <x v="0"/>
    <n v="19"/>
    <n v="0"/>
    <n v="0"/>
    <n v="8.1583000000000006"/>
    <x v="0"/>
  </r>
  <r>
    <n v="1"/>
    <x v="0"/>
    <s v="Andersson, Miss. Erna Alexandra"/>
    <x v="1"/>
    <n v="17"/>
    <n v="4"/>
    <n v="2"/>
    <n v="7.9249999999999998"/>
    <x v="0"/>
  </r>
  <r>
    <n v="0"/>
    <x v="0"/>
    <s v="Kink, Mr. Vincenz"/>
    <x v="0"/>
    <n v="26"/>
    <n v="2"/>
    <n v="0"/>
    <n v="8.6624999999999996"/>
    <x v="0"/>
  </r>
  <r>
    <n v="0"/>
    <x v="2"/>
    <s v="Jenkin, Mr. Stephen Curnow"/>
    <x v="0"/>
    <n v="32"/>
    <n v="0"/>
    <n v="0"/>
    <n v="10.5"/>
    <x v="0"/>
  </r>
  <r>
    <n v="0"/>
    <x v="0"/>
    <s v="Goodwin, Miss. Lillian Amy"/>
    <x v="1"/>
    <n v="16"/>
    <n v="5"/>
    <n v="2"/>
    <n v="46.9"/>
    <x v="0"/>
  </r>
  <r>
    <n v="0"/>
    <x v="2"/>
    <s v="Hood, Mr. Ambrose Jr"/>
    <x v="0"/>
    <n v="21"/>
    <n v="0"/>
    <n v="0"/>
    <n v="73.5"/>
    <x v="0"/>
  </r>
  <r>
    <n v="0"/>
    <x v="0"/>
    <s v="Chronopoulos, Mr. Apostolos"/>
    <x v="0"/>
    <n v="26"/>
    <n v="1"/>
    <n v="0"/>
    <n v="14.4542"/>
    <x v="1"/>
  </r>
  <r>
    <n v="1"/>
    <x v="0"/>
    <s v="Bing, Mr. Lee"/>
    <x v="0"/>
    <n v="32"/>
    <n v="0"/>
    <n v="0"/>
    <n v="56.495800000000003"/>
    <x v="0"/>
  </r>
  <r>
    <n v="0"/>
    <x v="0"/>
    <s v="Moen, Mr. Sigurd Hansen"/>
    <x v="0"/>
    <n v="25"/>
    <n v="0"/>
    <n v="0"/>
    <n v="7.65"/>
    <x v="0"/>
  </r>
  <r>
    <n v="0"/>
    <x v="0"/>
    <s v="Staneff, Mr. Ivan"/>
    <x v="0"/>
    <m/>
    <n v="0"/>
    <n v="0"/>
    <n v="7.8958000000000004"/>
    <x v="0"/>
  </r>
  <r>
    <n v="0"/>
    <x v="0"/>
    <s v="Moutal, Mr. Rahamin Haim"/>
    <x v="0"/>
    <m/>
    <n v="0"/>
    <n v="0"/>
    <n v="8.0500000000000007"/>
    <x v="0"/>
  </r>
  <r>
    <n v="1"/>
    <x v="2"/>
    <s v="Caldwell, Master. Alden Gates"/>
    <x v="0"/>
    <n v="0.83"/>
    <n v="0"/>
    <n v="2"/>
    <n v="29"/>
    <x v="0"/>
  </r>
  <r>
    <n v="1"/>
    <x v="0"/>
    <s v="Dowdell, Miss. Elizabeth"/>
    <x v="1"/>
    <n v="30"/>
    <n v="0"/>
    <n v="0"/>
    <n v="12.475"/>
    <x v="0"/>
  </r>
  <r>
    <n v="0"/>
    <x v="0"/>
    <s v="Waelens, Mr. Achille"/>
    <x v="0"/>
    <n v="22"/>
    <n v="0"/>
    <n v="0"/>
    <n v="9"/>
    <x v="0"/>
  </r>
  <r>
    <n v="1"/>
    <x v="0"/>
    <s v="Sheerlinck, Mr. Jan Baptist"/>
    <x v="0"/>
    <n v="29"/>
    <n v="0"/>
    <n v="0"/>
    <n v="9.5"/>
    <x v="0"/>
  </r>
  <r>
    <n v="1"/>
    <x v="0"/>
    <s v="McDermott, Miss. Brigdet Delia"/>
    <x v="1"/>
    <m/>
    <n v="0"/>
    <n v="0"/>
    <n v="7.7874999999999996"/>
    <x v="2"/>
  </r>
  <r>
    <n v="0"/>
    <x v="1"/>
    <s v="Carrau, Mr. Francisco M"/>
    <x v="0"/>
    <n v="28"/>
    <n v="0"/>
    <n v="0"/>
    <n v="47.1"/>
    <x v="0"/>
  </r>
  <r>
    <n v="1"/>
    <x v="2"/>
    <s v="Ilett, Miss. Bertha"/>
    <x v="1"/>
    <n v="17"/>
    <n v="0"/>
    <n v="0"/>
    <n v="10.5"/>
    <x v="0"/>
  </r>
  <r>
    <n v="1"/>
    <x v="0"/>
    <s v="Backstrom, Mrs. Karl Alfred (Maria Mathilda Gustafsson)"/>
    <x v="1"/>
    <n v="33"/>
    <n v="3"/>
    <n v="0"/>
    <n v="15.85"/>
    <x v="0"/>
  </r>
  <r>
    <n v="0"/>
    <x v="0"/>
    <s v="Ford, Mr. William Neal"/>
    <x v="0"/>
    <n v="16"/>
    <n v="1"/>
    <n v="3"/>
    <n v="34.375"/>
    <x v="0"/>
  </r>
  <r>
    <n v="0"/>
    <x v="0"/>
    <s v="Slocovski, Mr. Selman Francis"/>
    <x v="0"/>
    <m/>
    <n v="0"/>
    <n v="0"/>
    <n v="8.0500000000000007"/>
    <x v="0"/>
  </r>
  <r>
    <n v="1"/>
    <x v="1"/>
    <s v="Fortune, Miss. Mabel Helen"/>
    <x v="1"/>
    <n v="23"/>
    <n v="3"/>
    <n v="2"/>
    <n v="263"/>
    <x v="0"/>
  </r>
  <r>
    <n v="0"/>
    <x v="0"/>
    <s v="Celotti, Mr. Francesco"/>
    <x v="0"/>
    <n v="24"/>
    <n v="0"/>
    <n v="0"/>
    <n v="8.0500000000000007"/>
    <x v="0"/>
  </r>
  <r>
    <n v="0"/>
    <x v="0"/>
    <s v="Christmann, Mr. Emil"/>
    <x v="0"/>
    <n v="29"/>
    <n v="0"/>
    <n v="0"/>
    <n v="8.0500000000000007"/>
    <x v="0"/>
  </r>
  <r>
    <n v="0"/>
    <x v="0"/>
    <s v="Andreasson, Mr. Paul Edvin"/>
    <x v="0"/>
    <n v="20"/>
    <n v="0"/>
    <n v="0"/>
    <n v="7.8541999999999996"/>
    <x v="0"/>
  </r>
  <r>
    <n v="0"/>
    <x v="1"/>
    <s v="Chaffee, Mr. Herbert Fuller"/>
    <x v="0"/>
    <n v="46"/>
    <n v="1"/>
    <n v="0"/>
    <n v="61.174999999999997"/>
    <x v="0"/>
  </r>
  <r>
    <n v="0"/>
    <x v="0"/>
    <s v="Dean, Mr. Bertram Frank"/>
    <x v="0"/>
    <n v="26"/>
    <n v="1"/>
    <n v="2"/>
    <n v="20.574999999999999"/>
    <x v="0"/>
  </r>
  <r>
    <n v="0"/>
    <x v="0"/>
    <s v="Coxon, Mr. Daniel"/>
    <x v="0"/>
    <n v="59"/>
    <n v="0"/>
    <n v="0"/>
    <n v="7.25"/>
    <x v="0"/>
  </r>
  <r>
    <n v="0"/>
    <x v="0"/>
    <s v="Shorney, Mr. Charles Joseph"/>
    <x v="0"/>
    <m/>
    <n v="0"/>
    <n v="0"/>
    <n v="8.0500000000000007"/>
    <x v="0"/>
  </r>
  <r>
    <n v="0"/>
    <x v="1"/>
    <s v="Goldschmidt, Mr. George B"/>
    <x v="0"/>
    <n v="71"/>
    <n v="0"/>
    <n v="0"/>
    <n v="34.654200000000003"/>
    <x v="1"/>
  </r>
  <r>
    <n v="1"/>
    <x v="1"/>
    <s v="Greenfield, Mr. William Bertram"/>
    <x v="0"/>
    <n v="23"/>
    <n v="0"/>
    <n v="1"/>
    <n v="63.3583"/>
    <x v="1"/>
  </r>
  <r>
    <n v="1"/>
    <x v="2"/>
    <s v="Doling, Mrs. John T (Ada Julia Bone)"/>
    <x v="1"/>
    <n v="34"/>
    <n v="0"/>
    <n v="1"/>
    <n v="23"/>
    <x v="0"/>
  </r>
  <r>
    <n v="0"/>
    <x v="2"/>
    <s v="Kantor, Mr. Sinai"/>
    <x v="0"/>
    <n v="34"/>
    <n v="1"/>
    <n v="0"/>
    <n v="26"/>
    <x v="0"/>
  </r>
  <r>
    <n v="0"/>
    <x v="0"/>
    <s v="Petranec, Miss. Matilda"/>
    <x v="1"/>
    <n v="28"/>
    <n v="0"/>
    <n v="0"/>
    <n v="7.8958000000000004"/>
    <x v="0"/>
  </r>
  <r>
    <n v="0"/>
    <x v="0"/>
    <s v="Petroff, Mr. Pastcho (&quot;Pentcho&quot;)"/>
    <x v="0"/>
    <m/>
    <n v="0"/>
    <n v="0"/>
    <n v="7.8958000000000004"/>
    <x v="0"/>
  </r>
  <r>
    <n v="0"/>
    <x v="1"/>
    <s v="White, Mr. Richard Frasar"/>
    <x v="0"/>
    <n v="21"/>
    <n v="0"/>
    <n v="1"/>
    <n v="77.287499999999994"/>
    <x v="0"/>
  </r>
  <r>
    <n v="0"/>
    <x v="0"/>
    <s v="Johansson, Mr. Gustaf Joel"/>
    <x v="0"/>
    <n v="33"/>
    <n v="0"/>
    <n v="0"/>
    <n v="8.6541999999999994"/>
    <x v="0"/>
  </r>
  <r>
    <n v="0"/>
    <x v="0"/>
    <s v="Gustafsson, Mr. Anders Vilhelm"/>
    <x v="0"/>
    <n v="37"/>
    <n v="2"/>
    <n v="0"/>
    <n v="7.9249999999999998"/>
    <x v="0"/>
  </r>
  <r>
    <n v="0"/>
    <x v="0"/>
    <s v="Mionoff, Mr. Stoytcho"/>
    <x v="0"/>
    <n v="28"/>
    <n v="0"/>
    <n v="0"/>
    <n v="7.8958000000000004"/>
    <x v="0"/>
  </r>
  <r>
    <n v="1"/>
    <x v="0"/>
    <s v="Salkjelsvik, Miss. Anna Kristine"/>
    <x v="1"/>
    <n v="21"/>
    <n v="0"/>
    <n v="0"/>
    <n v="7.65"/>
    <x v="0"/>
  </r>
  <r>
    <n v="1"/>
    <x v="0"/>
    <s v="Moss, Mr. Albert Johan"/>
    <x v="0"/>
    <m/>
    <n v="0"/>
    <n v="0"/>
    <n v="7.7750000000000004"/>
    <x v="0"/>
  </r>
  <r>
    <n v="0"/>
    <x v="0"/>
    <s v="Rekic, Mr. Tido"/>
    <x v="0"/>
    <n v="38"/>
    <n v="0"/>
    <n v="0"/>
    <n v="7.8958000000000004"/>
    <x v="0"/>
  </r>
  <r>
    <n v="1"/>
    <x v="0"/>
    <s v="Moran, Miss. Bertha"/>
    <x v="1"/>
    <m/>
    <n v="1"/>
    <n v="0"/>
    <n v="24.15"/>
    <x v="2"/>
  </r>
  <r>
    <n v="0"/>
    <x v="1"/>
    <s v="Porter, Mr. Walter Chamberlain"/>
    <x v="0"/>
    <n v="47"/>
    <n v="0"/>
    <n v="0"/>
    <n v="52"/>
    <x v="0"/>
  </r>
  <r>
    <n v="0"/>
    <x v="0"/>
    <s v="Zabour, Miss. Hileni"/>
    <x v="1"/>
    <n v="14.5"/>
    <n v="1"/>
    <n v="0"/>
    <n v="14.4542"/>
    <x v="1"/>
  </r>
  <r>
    <n v="0"/>
    <x v="0"/>
    <s v="Barton, Mr. David John"/>
    <x v="0"/>
    <n v="22"/>
    <n v="0"/>
    <n v="0"/>
    <n v="8.0500000000000007"/>
    <x v="0"/>
  </r>
  <r>
    <n v="0"/>
    <x v="0"/>
    <s v="Jussila, Miss. Katriina"/>
    <x v="1"/>
    <n v="20"/>
    <n v="1"/>
    <n v="0"/>
    <n v="9.8249999999999993"/>
    <x v="0"/>
  </r>
  <r>
    <n v="0"/>
    <x v="0"/>
    <s v="Attalah, Miss. Malake"/>
    <x v="1"/>
    <n v="17"/>
    <n v="0"/>
    <n v="0"/>
    <n v="14.458299999999999"/>
    <x v="1"/>
  </r>
  <r>
    <n v="0"/>
    <x v="0"/>
    <s v="Pekoniemi, Mr. Edvard"/>
    <x v="0"/>
    <n v="21"/>
    <n v="0"/>
    <n v="0"/>
    <n v="7.9249999999999998"/>
    <x v="0"/>
  </r>
  <r>
    <n v="0"/>
    <x v="0"/>
    <s v="Connors, Mr. Patrick"/>
    <x v="0"/>
    <n v="70.5"/>
    <n v="0"/>
    <n v="0"/>
    <n v="7.75"/>
    <x v="2"/>
  </r>
  <r>
    <n v="0"/>
    <x v="2"/>
    <s v="Turpin, Mr. William John Robert"/>
    <x v="0"/>
    <n v="29"/>
    <n v="1"/>
    <n v="0"/>
    <n v="21"/>
    <x v="0"/>
  </r>
  <r>
    <n v="0"/>
    <x v="1"/>
    <s v="Baxter, Mr. Quigg Edmond"/>
    <x v="0"/>
    <n v="24"/>
    <n v="0"/>
    <n v="1"/>
    <n v="247.52080000000001"/>
    <x v="1"/>
  </r>
  <r>
    <n v="0"/>
    <x v="0"/>
    <s v="Andersson, Miss. Ellis Anna Maria"/>
    <x v="1"/>
    <n v="2"/>
    <n v="4"/>
    <n v="2"/>
    <n v="31.274999999999999"/>
    <x v="0"/>
  </r>
  <r>
    <n v="0"/>
    <x v="2"/>
    <s v="Hickman, Mr. Stanley George"/>
    <x v="0"/>
    <n v="21"/>
    <n v="2"/>
    <n v="0"/>
    <n v="73.5"/>
    <x v="0"/>
  </r>
  <r>
    <n v="0"/>
    <x v="0"/>
    <s v="Moore, Mr. Leonard Charles"/>
    <x v="0"/>
    <m/>
    <n v="0"/>
    <n v="0"/>
    <n v="8.0500000000000007"/>
    <x v="0"/>
  </r>
  <r>
    <n v="0"/>
    <x v="2"/>
    <s v="Nasser, Mr. Nicholas"/>
    <x v="0"/>
    <n v="32.5"/>
    <n v="1"/>
    <n v="0"/>
    <n v="30.070799999999998"/>
    <x v="1"/>
  </r>
  <r>
    <n v="1"/>
    <x v="2"/>
    <s v="Webber, Miss. Susan"/>
    <x v="1"/>
    <n v="32.5"/>
    <n v="0"/>
    <n v="0"/>
    <n v="13"/>
    <x v="0"/>
  </r>
  <r>
    <n v="0"/>
    <x v="1"/>
    <s v="White, Mr. Percival Wayland"/>
    <x v="0"/>
    <n v="54"/>
    <n v="0"/>
    <n v="1"/>
    <n v="77.287499999999994"/>
    <x v="0"/>
  </r>
  <r>
    <n v="1"/>
    <x v="0"/>
    <s v="Nicola-Yarred, Master. Elias"/>
    <x v="0"/>
    <n v="12"/>
    <n v="1"/>
    <n v="0"/>
    <n v="11.2417"/>
    <x v="1"/>
  </r>
  <r>
    <n v="0"/>
    <x v="0"/>
    <s v="McMahon, Mr. Martin"/>
    <x v="0"/>
    <m/>
    <n v="0"/>
    <n v="0"/>
    <n v="7.75"/>
    <x v="2"/>
  </r>
  <r>
    <n v="1"/>
    <x v="0"/>
    <s v="Madsen, Mr. Fridtjof Arne"/>
    <x v="0"/>
    <n v="24"/>
    <n v="0"/>
    <n v="0"/>
    <n v="7.1417000000000002"/>
    <x v="0"/>
  </r>
  <r>
    <n v="1"/>
    <x v="0"/>
    <s v="Peter, Miss. Anna"/>
    <x v="1"/>
    <m/>
    <n v="1"/>
    <n v="1"/>
    <n v="22.3583"/>
    <x v="1"/>
  </r>
  <r>
    <n v="0"/>
    <x v="0"/>
    <s v="Ekstrom, Mr. Johan"/>
    <x v="0"/>
    <n v="45"/>
    <n v="0"/>
    <n v="0"/>
    <n v="6.9749999999999996"/>
    <x v="0"/>
  </r>
  <r>
    <n v="0"/>
    <x v="0"/>
    <s v="Drazenoic, Mr. Jozef"/>
    <x v="0"/>
    <n v="33"/>
    <n v="0"/>
    <n v="0"/>
    <n v="7.8958000000000004"/>
    <x v="1"/>
  </r>
  <r>
    <n v="0"/>
    <x v="0"/>
    <s v="Coelho, Mr. Domingos Fernandeo"/>
    <x v="0"/>
    <n v="20"/>
    <n v="0"/>
    <n v="0"/>
    <n v="7.05"/>
    <x v="0"/>
  </r>
  <r>
    <n v="0"/>
    <x v="0"/>
    <s v="Robins, Mrs. Alexander A (Grace Charity Laury)"/>
    <x v="1"/>
    <n v="47"/>
    <n v="1"/>
    <n v="0"/>
    <n v="14.5"/>
    <x v="0"/>
  </r>
  <r>
    <n v="1"/>
    <x v="2"/>
    <s v="Weisz, Mrs. Leopold (Mathilde Francoise Pede)"/>
    <x v="1"/>
    <n v="29"/>
    <n v="1"/>
    <n v="0"/>
    <n v="26"/>
    <x v="0"/>
  </r>
  <r>
    <n v="0"/>
    <x v="2"/>
    <s v="Sobey, Mr. Samuel James Hayden"/>
    <x v="0"/>
    <n v="25"/>
    <n v="0"/>
    <n v="0"/>
    <n v="13"/>
    <x v="0"/>
  </r>
  <r>
    <n v="0"/>
    <x v="2"/>
    <s v="Richard, Mr. Emile"/>
    <x v="0"/>
    <n v="23"/>
    <n v="0"/>
    <n v="0"/>
    <n v="15.0458"/>
    <x v="1"/>
  </r>
  <r>
    <n v="1"/>
    <x v="1"/>
    <s v="Newsom, Miss. Helen Monypeny"/>
    <x v="1"/>
    <n v="19"/>
    <n v="0"/>
    <n v="2"/>
    <n v="26.283300000000001"/>
    <x v="0"/>
  </r>
  <r>
    <n v="0"/>
    <x v="1"/>
    <s v="Futrelle, Mr. Jacques Heath"/>
    <x v="0"/>
    <n v="37"/>
    <n v="1"/>
    <n v="0"/>
    <n v="53.1"/>
    <x v="0"/>
  </r>
  <r>
    <n v="0"/>
    <x v="0"/>
    <s v="Osen, Mr. Olaf Elon"/>
    <x v="0"/>
    <n v="16"/>
    <n v="0"/>
    <n v="0"/>
    <n v="9.2166999999999994"/>
    <x v="0"/>
  </r>
  <r>
    <n v="0"/>
    <x v="1"/>
    <s v="Giglio, Mr. Victor"/>
    <x v="0"/>
    <n v="24"/>
    <n v="0"/>
    <n v="0"/>
    <n v="79.2"/>
    <x v="1"/>
  </r>
  <r>
    <n v="0"/>
    <x v="0"/>
    <s v="Boulos, Mrs. Joseph (Sultana)"/>
    <x v="1"/>
    <m/>
    <n v="0"/>
    <n v="2"/>
    <n v="15.245799999999999"/>
    <x v="1"/>
  </r>
  <r>
    <n v="1"/>
    <x v="0"/>
    <s v="Nysten, Miss. Anna Sofia"/>
    <x v="1"/>
    <n v="22"/>
    <n v="0"/>
    <n v="0"/>
    <n v="7.75"/>
    <x v="0"/>
  </r>
  <r>
    <n v="1"/>
    <x v="0"/>
    <s v="Hakkarainen, Mrs. Pekka Pietari (Elin Matilda Dolck)"/>
    <x v="1"/>
    <n v="24"/>
    <n v="1"/>
    <n v="0"/>
    <n v="15.85"/>
    <x v="0"/>
  </r>
  <r>
    <n v="0"/>
    <x v="0"/>
    <s v="Burke, Mr. Jeremiah"/>
    <x v="0"/>
    <n v="19"/>
    <n v="0"/>
    <n v="0"/>
    <n v="6.75"/>
    <x v="2"/>
  </r>
  <r>
    <n v="0"/>
    <x v="2"/>
    <s v="Andrew, Mr. Edgardo Samuel"/>
    <x v="0"/>
    <n v="18"/>
    <n v="0"/>
    <n v="0"/>
    <n v="11.5"/>
    <x v="0"/>
  </r>
  <r>
    <n v="0"/>
    <x v="2"/>
    <s v="Nicholls, Mr. Joseph Charles"/>
    <x v="0"/>
    <n v="19"/>
    <n v="1"/>
    <n v="1"/>
    <n v="36.75"/>
    <x v="0"/>
  </r>
  <r>
    <n v="1"/>
    <x v="0"/>
    <s v="Andersson, Mr. August Edvard (&quot;Wennerstrom&quot;)"/>
    <x v="0"/>
    <n v="27"/>
    <n v="0"/>
    <n v="0"/>
    <n v="7.7957999999999998"/>
    <x v="0"/>
  </r>
  <r>
    <n v="0"/>
    <x v="0"/>
    <s v="Ford, Miss. Robina Maggie &quot;Ruby&quot;"/>
    <x v="1"/>
    <n v="9"/>
    <n v="2"/>
    <n v="2"/>
    <n v="34.375"/>
    <x v="0"/>
  </r>
  <r>
    <n v="0"/>
    <x v="2"/>
    <s v="Navratil, Mr. Michel (&quot;Louis M Hoffman&quot;)"/>
    <x v="0"/>
    <n v="36.5"/>
    <n v="0"/>
    <n v="2"/>
    <n v="26"/>
    <x v="0"/>
  </r>
  <r>
    <n v="0"/>
    <x v="2"/>
    <s v="Byles, Rev. Thomas Roussel Davids"/>
    <x v="0"/>
    <n v="42"/>
    <n v="0"/>
    <n v="0"/>
    <n v="13"/>
    <x v="0"/>
  </r>
  <r>
    <n v="0"/>
    <x v="2"/>
    <s v="Bateman, Rev. Robert James"/>
    <x v="0"/>
    <n v="51"/>
    <n v="0"/>
    <n v="0"/>
    <n v="12.525"/>
    <x v="0"/>
  </r>
  <r>
    <n v="1"/>
    <x v="1"/>
    <s v="Pears, Mrs. Thomas (Edith Wearne)"/>
    <x v="1"/>
    <n v="22"/>
    <n v="1"/>
    <n v="0"/>
    <n v="66.599999999999994"/>
    <x v="0"/>
  </r>
  <r>
    <n v="0"/>
    <x v="0"/>
    <s v="Meo, Mr. Alfonzo"/>
    <x v="0"/>
    <n v="55.5"/>
    <n v="0"/>
    <n v="0"/>
    <n v="8.0500000000000007"/>
    <x v="0"/>
  </r>
  <r>
    <n v="0"/>
    <x v="0"/>
    <s v="van Billiard, Mr. Austin Blyler"/>
    <x v="0"/>
    <n v="40.5"/>
    <n v="0"/>
    <n v="2"/>
    <n v="14.5"/>
    <x v="0"/>
  </r>
  <r>
    <n v="0"/>
    <x v="0"/>
    <s v="Olsen, Mr. Ole Martin"/>
    <x v="0"/>
    <m/>
    <n v="0"/>
    <n v="0"/>
    <n v="7.3125"/>
    <x v="0"/>
  </r>
  <r>
    <n v="0"/>
    <x v="1"/>
    <s v="Williams, Mr. Charles Duane"/>
    <x v="0"/>
    <n v="51"/>
    <n v="0"/>
    <n v="1"/>
    <n v="61.379199999999997"/>
    <x v="1"/>
  </r>
  <r>
    <n v="1"/>
    <x v="0"/>
    <s v="Gilnagh, Miss. Katherine &quot;Katie&quot;"/>
    <x v="1"/>
    <n v="16"/>
    <n v="0"/>
    <n v="0"/>
    <n v="7.7332999999999998"/>
    <x v="2"/>
  </r>
  <r>
    <n v="0"/>
    <x v="0"/>
    <s v="Corn, Mr. Harry"/>
    <x v="0"/>
    <n v="30"/>
    <n v="0"/>
    <n v="0"/>
    <n v="8.0500000000000007"/>
    <x v="0"/>
  </r>
  <r>
    <n v="0"/>
    <x v="0"/>
    <s v="Smiljanic, Mr. Mile"/>
    <x v="0"/>
    <m/>
    <n v="0"/>
    <n v="0"/>
    <n v="8.6624999999999996"/>
    <x v="0"/>
  </r>
  <r>
    <n v="0"/>
    <x v="0"/>
    <s v="Sage, Master. Thomas Henry"/>
    <x v="0"/>
    <m/>
    <n v="8"/>
    <n v="2"/>
    <n v="69.55"/>
    <x v="0"/>
  </r>
  <r>
    <n v="0"/>
    <x v="0"/>
    <s v="Cribb, Mr. John Hatfield"/>
    <x v="0"/>
    <n v="44"/>
    <n v="0"/>
    <n v="1"/>
    <n v="16.100000000000001"/>
    <x v="0"/>
  </r>
  <r>
    <n v="1"/>
    <x v="2"/>
    <s v="Watt, Mrs. James (Elizabeth &quot;Bessie&quot; Inglis Milne)"/>
    <x v="1"/>
    <n v="40"/>
    <n v="0"/>
    <n v="0"/>
    <n v="15.75"/>
    <x v="0"/>
  </r>
  <r>
    <n v="0"/>
    <x v="0"/>
    <s v="Bengtsson, Mr. John Viktor"/>
    <x v="0"/>
    <n v="26"/>
    <n v="0"/>
    <n v="0"/>
    <n v="7.7750000000000004"/>
    <x v="0"/>
  </r>
  <r>
    <n v="0"/>
    <x v="0"/>
    <s v="Calic, Mr. Jovo"/>
    <x v="0"/>
    <n v="17"/>
    <n v="0"/>
    <n v="0"/>
    <n v="8.6624999999999996"/>
    <x v="0"/>
  </r>
  <r>
    <n v="0"/>
    <x v="0"/>
    <s v="Panula, Master. Eino Viljami"/>
    <x v="0"/>
    <n v="1"/>
    <n v="4"/>
    <n v="1"/>
    <n v="39.6875"/>
    <x v="0"/>
  </r>
  <r>
    <n v="1"/>
    <x v="0"/>
    <s v="Goldsmith, Master. Frank John William &quot;Frankie&quot;"/>
    <x v="0"/>
    <n v="9"/>
    <n v="0"/>
    <n v="2"/>
    <n v="20.524999999999999"/>
    <x v="0"/>
  </r>
  <r>
    <n v="1"/>
    <x v="1"/>
    <s v="Chibnall, Mrs. (Edith Martha Bowerman)"/>
    <x v="1"/>
    <m/>
    <n v="0"/>
    <n v="1"/>
    <n v="55"/>
    <x v="0"/>
  </r>
  <r>
    <n v="0"/>
    <x v="0"/>
    <s v="Skoog, Mrs. William (Anna Bernhardina Karlsson)"/>
    <x v="1"/>
    <n v="45"/>
    <n v="1"/>
    <n v="4"/>
    <n v="27.9"/>
    <x v="0"/>
  </r>
  <r>
    <n v="0"/>
    <x v="1"/>
    <s v="Baumann, Mr. John D"/>
    <x v="0"/>
    <m/>
    <n v="0"/>
    <n v="0"/>
    <n v="25.925000000000001"/>
    <x v="0"/>
  </r>
  <r>
    <n v="0"/>
    <x v="0"/>
    <s v="Ling, Mr. Lee"/>
    <x v="0"/>
    <n v="28"/>
    <n v="0"/>
    <n v="0"/>
    <n v="56.495800000000003"/>
    <x v="0"/>
  </r>
  <r>
    <n v="0"/>
    <x v="1"/>
    <s v="Van der hoef, Mr. Wyckoff"/>
    <x v="0"/>
    <n v="61"/>
    <n v="0"/>
    <n v="0"/>
    <n v="33.5"/>
    <x v="0"/>
  </r>
  <r>
    <n v="0"/>
    <x v="0"/>
    <s v="Rice, Master. Arthur"/>
    <x v="0"/>
    <n v="4"/>
    <n v="4"/>
    <n v="1"/>
    <n v="29.125"/>
    <x v="2"/>
  </r>
  <r>
    <n v="1"/>
    <x v="0"/>
    <s v="Johnson, Miss. Eleanor Ileen"/>
    <x v="1"/>
    <n v="1"/>
    <n v="1"/>
    <n v="1"/>
    <n v="11.1333"/>
    <x v="0"/>
  </r>
  <r>
    <n v="0"/>
    <x v="0"/>
    <s v="Sivola, Mr. Antti Wilhelm"/>
    <x v="0"/>
    <n v="21"/>
    <n v="0"/>
    <n v="0"/>
    <n v="7.9249999999999998"/>
    <x v="0"/>
  </r>
  <r>
    <n v="0"/>
    <x v="1"/>
    <s v="Smith, Mr. James Clinch"/>
    <x v="0"/>
    <n v="56"/>
    <n v="0"/>
    <n v="0"/>
    <n v="30.695799999999998"/>
    <x v="1"/>
  </r>
  <r>
    <n v="0"/>
    <x v="0"/>
    <s v="Klasen, Mr. Klas Albin"/>
    <x v="0"/>
    <n v="18"/>
    <n v="1"/>
    <n v="1"/>
    <n v="7.8541999999999996"/>
    <x v="0"/>
  </r>
  <r>
    <n v="0"/>
    <x v="0"/>
    <s v="Lefebre, Master. Henry Forbes"/>
    <x v="0"/>
    <m/>
    <n v="3"/>
    <n v="1"/>
    <n v="25.466699999999999"/>
    <x v="0"/>
  </r>
  <r>
    <n v="0"/>
    <x v="1"/>
    <s v="Isham, Miss. Ann Elizabeth"/>
    <x v="1"/>
    <n v="50"/>
    <n v="0"/>
    <n v="0"/>
    <n v="28.712499999999999"/>
    <x v="1"/>
  </r>
  <r>
    <n v="0"/>
    <x v="2"/>
    <s v="Hale, Mr. Reginald"/>
    <x v="0"/>
    <n v="30"/>
    <n v="0"/>
    <n v="0"/>
    <n v="13"/>
    <x v="0"/>
  </r>
  <r>
    <n v="0"/>
    <x v="0"/>
    <s v="Leonard, Mr. Lionel"/>
    <x v="0"/>
    <n v="36"/>
    <n v="0"/>
    <n v="0"/>
    <n v="0"/>
    <x v="0"/>
  </r>
  <r>
    <n v="0"/>
    <x v="0"/>
    <s v="Sage, Miss. Constance Gladys"/>
    <x v="1"/>
    <m/>
    <n v="8"/>
    <n v="2"/>
    <n v="69.55"/>
    <x v="0"/>
  </r>
  <r>
    <n v="0"/>
    <x v="2"/>
    <s v="Pernot, Mr. Rene"/>
    <x v="0"/>
    <m/>
    <n v="0"/>
    <n v="0"/>
    <n v="15.05"/>
    <x v="1"/>
  </r>
  <r>
    <n v="0"/>
    <x v="0"/>
    <s v="Asplund, Master. Clarence Gustaf Hugo"/>
    <x v="0"/>
    <n v="9"/>
    <n v="4"/>
    <n v="2"/>
    <n v="31.387499999999999"/>
    <x v="0"/>
  </r>
  <r>
    <n v="1"/>
    <x v="2"/>
    <s v="Becker, Master. Richard F"/>
    <x v="0"/>
    <n v="1"/>
    <n v="2"/>
    <n v="1"/>
    <n v="39"/>
    <x v="0"/>
  </r>
  <r>
    <n v="1"/>
    <x v="0"/>
    <s v="Kink-Heilmann, Miss. Luise Gretchen"/>
    <x v="1"/>
    <n v="4"/>
    <n v="0"/>
    <n v="2"/>
    <n v="22.024999999999999"/>
    <x v="0"/>
  </r>
  <r>
    <n v="0"/>
    <x v="1"/>
    <s v="Rood, Mr. Hugh Roscoe"/>
    <x v="0"/>
    <m/>
    <n v="0"/>
    <n v="0"/>
    <n v="50"/>
    <x v="0"/>
  </r>
  <r>
    <n v="1"/>
    <x v="0"/>
    <s v="O'Brien, Mrs. Thomas (Johanna &quot;Hannah&quot; Godfrey)"/>
    <x v="1"/>
    <m/>
    <n v="1"/>
    <n v="0"/>
    <n v="15.5"/>
    <x v="2"/>
  </r>
  <r>
    <n v="1"/>
    <x v="1"/>
    <s v="Romaine, Mr. Charles Hallace (&quot;Mr C Rolmane&quot;)"/>
    <x v="0"/>
    <n v="45"/>
    <n v="0"/>
    <n v="0"/>
    <n v="26.55"/>
    <x v="0"/>
  </r>
  <r>
    <n v="0"/>
    <x v="0"/>
    <s v="Bourke, Mr. John"/>
    <x v="0"/>
    <n v="40"/>
    <n v="1"/>
    <n v="1"/>
    <n v="15.5"/>
    <x v="2"/>
  </r>
  <r>
    <n v="0"/>
    <x v="0"/>
    <s v="Turcin, Mr. Stjepan"/>
    <x v="0"/>
    <n v="36"/>
    <n v="0"/>
    <n v="0"/>
    <n v="7.8958000000000004"/>
    <x v="0"/>
  </r>
  <r>
    <n v="1"/>
    <x v="2"/>
    <s v="Pinsky, Mrs. (Rosa)"/>
    <x v="1"/>
    <n v="32"/>
    <n v="0"/>
    <n v="0"/>
    <n v="13"/>
    <x v="0"/>
  </r>
  <r>
    <n v="0"/>
    <x v="2"/>
    <s v="Carbines, Mr. William"/>
    <x v="0"/>
    <n v="19"/>
    <n v="0"/>
    <n v="0"/>
    <n v="13"/>
    <x v="0"/>
  </r>
  <r>
    <n v="1"/>
    <x v="0"/>
    <s v="Andersen-Jensen, Miss. Carla Christine Nielsine"/>
    <x v="1"/>
    <n v="19"/>
    <n v="1"/>
    <n v="0"/>
    <n v="7.8541999999999996"/>
    <x v="0"/>
  </r>
  <r>
    <n v="1"/>
    <x v="2"/>
    <s v="Navratil, Master. Michel M"/>
    <x v="0"/>
    <n v="3"/>
    <n v="1"/>
    <n v="1"/>
    <n v="26"/>
    <x v="0"/>
  </r>
  <r>
    <n v="1"/>
    <x v="1"/>
    <s v="Brown, Mrs. James Joseph (Margaret Tobin)"/>
    <x v="1"/>
    <n v="44"/>
    <n v="0"/>
    <n v="0"/>
    <n v="27.720800000000001"/>
    <x v="1"/>
  </r>
  <r>
    <n v="1"/>
    <x v="1"/>
    <s v="Lurette, Miss. Elise"/>
    <x v="1"/>
    <n v="58"/>
    <n v="0"/>
    <n v="0"/>
    <n v="146.52080000000001"/>
    <x v="1"/>
  </r>
  <r>
    <n v="0"/>
    <x v="0"/>
    <s v="Mernagh, Mr. Robert"/>
    <x v="0"/>
    <m/>
    <n v="0"/>
    <n v="0"/>
    <n v="7.75"/>
    <x v="2"/>
  </r>
  <r>
    <n v="0"/>
    <x v="0"/>
    <s v="Olsen, Mr. Karl Siegwart Andreas"/>
    <x v="0"/>
    <n v="42"/>
    <n v="0"/>
    <n v="1"/>
    <n v="8.4041999999999994"/>
    <x v="0"/>
  </r>
  <r>
    <n v="1"/>
    <x v="0"/>
    <s v="Madigan, Miss. Margaret &quot;Maggie&quot;"/>
    <x v="1"/>
    <m/>
    <n v="0"/>
    <n v="0"/>
    <n v="7.75"/>
    <x v="2"/>
  </r>
  <r>
    <n v="0"/>
    <x v="2"/>
    <s v="Yrois, Miss. Henriette (&quot;Mrs Harbeck&quot;)"/>
    <x v="1"/>
    <n v="24"/>
    <n v="0"/>
    <n v="0"/>
    <n v="13"/>
    <x v="0"/>
  </r>
  <r>
    <n v="0"/>
    <x v="0"/>
    <s v="Vande Walle, Mr. Nestor Cyriel"/>
    <x v="0"/>
    <n v="28"/>
    <n v="0"/>
    <n v="0"/>
    <n v="9.5"/>
    <x v="0"/>
  </r>
  <r>
    <n v="0"/>
    <x v="0"/>
    <s v="Sage, Mr. Frederick"/>
    <x v="0"/>
    <m/>
    <n v="8"/>
    <n v="2"/>
    <n v="69.55"/>
    <x v="0"/>
  </r>
  <r>
    <n v="0"/>
    <x v="0"/>
    <s v="Johanson, Mr. Jakob Alfred"/>
    <x v="0"/>
    <n v="34"/>
    <n v="0"/>
    <n v="0"/>
    <n v="6.4958"/>
    <x v="0"/>
  </r>
  <r>
    <n v="0"/>
    <x v="0"/>
    <s v="Youseff, Mr. Gerious"/>
    <x v="0"/>
    <n v="45.5"/>
    <n v="0"/>
    <n v="0"/>
    <n v="7.2249999999999996"/>
    <x v="1"/>
  </r>
  <r>
    <n v="1"/>
    <x v="0"/>
    <s v="Cohen, Mr. Gurshon &quot;Gus&quot;"/>
    <x v="0"/>
    <n v="18"/>
    <n v="0"/>
    <n v="0"/>
    <n v="8.0500000000000007"/>
    <x v="0"/>
  </r>
  <r>
    <n v="0"/>
    <x v="0"/>
    <s v="Strom, Miss. Telma Matilda"/>
    <x v="1"/>
    <n v="2"/>
    <n v="0"/>
    <n v="1"/>
    <n v="10.4625"/>
    <x v="0"/>
  </r>
  <r>
    <n v="0"/>
    <x v="0"/>
    <s v="Backstrom, Mr. Karl Alfred"/>
    <x v="0"/>
    <n v="32"/>
    <n v="1"/>
    <n v="0"/>
    <n v="15.85"/>
    <x v="0"/>
  </r>
  <r>
    <n v="1"/>
    <x v="0"/>
    <s v="Albimona, Mr. Nassef Cassem"/>
    <x v="0"/>
    <n v="26"/>
    <n v="0"/>
    <n v="0"/>
    <n v="18.787500000000001"/>
    <x v="1"/>
  </r>
  <r>
    <n v="1"/>
    <x v="0"/>
    <s v="Carr, Miss. Helen &quot;Ellen&quot;"/>
    <x v="1"/>
    <n v="16"/>
    <n v="0"/>
    <n v="0"/>
    <n v="7.75"/>
    <x v="2"/>
  </r>
  <r>
    <n v="1"/>
    <x v="1"/>
    <s v="Blank, Mr. Henry"/>
    <x v="0"/>
    <n v="40"/>
    <n v="0"/>
    <n v="0"/>
    <n v="31"/>
    <x v="1"/>
  </r>
  <r>
    <n v="0"/>
    <x v="0"/>
    <s v="Ali, Mr. Ahmed"/>
    <x v="0"/>
    <n v="24"/>
    <n v="0"/>
    <n v="0"/>
    <n v="7.05"/>
    <x v="0"/>
  </r>
  <r>
    <n v="1"/>
    <x v="2"/>
    <s v="Cameron, Miss. Clear Annie"/>
    <x v="1"/>
    <n v="35"/>
    <n v="0"/>
    <n v="0"/>
    <n v="21"/>
    <x v="0"/>
  </r>
  <r>
    <n v="0"/>
    <x v="0"/>
    <s v="Perkin, Mr. John Henry"/>
    <x v="0"/>
    <n v="22"/>
    <n v="0"/>
    <n v="0"/>
    <n v="7.25"/>
    <x v="0"/>
  </r>
  <r>
    <n v="0"/>
    <x v="2"/>
    <s v="Givard, Mr. Hans Kristensen"/>
    <x v="0"/>
    <n v="30"/>
    <n v="0"/>
    <n v="0"/>
    <n v="13"/>
    <x v="0"/>
  </r>
  <r>
    <n v="0"/>
    <x v="0"/>
    <s v="Kiernan, Mr. Philip"/>
    <x v="0"/>
    <m/>
    <n v="1"/>
    <n v="0"/>
    <n v="7.75"/>
    <x v="2"/>
  </r>
  <r>
    <n v="1"/>
    <x v="1"/>
    <s v="Newell, Miss. Madeleine"/>
    <x v="1"/>
    <n v="31"/>
    <n v="1"/>
    <n v="0"/>
    <n v="113.27500000000001"/>
    <x v="1"/>
  </r>
  <r>
    <n v="1"/>
    <x v="0"/>
    <s v="Honkanen, Miss. Eliina"/>
    <x v="1"/>
    <n v="27"/>
    <n v="0"/>
    <n v="0"/>
    <n v="7.9249999999999998"/>
    <x v="0"/>
  </r>
  <r>
    <n v="0"/>
    <x v="2"/>
    <s v="Jacobsohn, Mr. Sidney Samuel"/>
    <x v="0"/>
    <n v="42"/>
    <n v="1"/>
    <n v="0"/>
    <n v="27"/>
    <x v="0"/>
  </r>
  <r>
    <n v="1"/>
    <x v="1"/>
    <s v="Bazzani, Miss. Albina"/>
    <x v="1"/>
    <n v="32"/>
    <n v="0"/>
    <n v="0"/>
    <n v="76.291700000000006"/>
    <x v="1"/>
  </r>
  <r>
    <n v="0"/>
    <x v="2"/>
    <s v="Harris, Mr. Walter"/>
    <x v="0"/>
    <n v="30"/>
    <n v="0"/>
    <n v="0"/>
    <n v="10.5"/>
    <x v="0"/>
  </r>
  <r>
    <n v="1"/>
    <x v="0"/>
    <s v="Sunderland, Mr. Victor Francis"/>
    <x v="0"/>
    <n v="16"/>
    <n v="0"/>
    <n v="0"/>
    <n v="8.0500000000000007"/>
    <x v="0"/>
  </r>
  <r>
    <n v="0"/>
    <x v="2"/>
    <s v="Bracken, Mr. James H"/>
    <x v="0"/>
    <n v="27"/>
    <n v="0"/>
    <n v="0"/>
    <n v="13"/>
    <x v="0"/>
  </r>
  <r>
    <n v="0"/>
    <x v="0"/>
    <s v="Green, Mr. George Henry"/>
    <x v="0"/>
    <n v="51"/>
    <n v="0"/>
    <n v="0"/>
    <n v="8.0500000000000007"/>
    <x v="0"/>
  </r>
  <r>
    <n v="0"/>
    <x v="0"/>
    <s v="Nenkoff, Mr. Christo"/>
    <x v="0"/>
    <m/>
    <n v="0"/>
    <n v="0"/>
    <n v="7.8958000000000004"/>
    <x v="0"/>
  </r>
  <r>
    <n v="1"/>
    <x v="1"/>
    <s v="Hoyt, Mr. Frederick Maxfield"/>
    <x v="0"/>
    <n v="38"/>
    <n v="1"/>
    <n v="0"/>
    <n v="90"/>
    <x v="0"/>
  </r>
  <r>
    <n v="0"/>
    <x v="0"/>
    <s v="Berglund, Mr. Karl Ivar Sven"/>
    <x v="0"/>
    <n v="22"/>
    <n v="0"/>
    <n v="0"/>
    <n v="9.35"/>
    <x v="0"/>
  </r>
  <r>
    <n v="1"/>
    <x v="2"/>
    <s v="Mellors, Mr. William John"/>
    <x v="0"/>
    <n v="19"/>
    <n v="0"/>
    <n v="0"/>
    <n v="10.5"/>
    <x v="0"/>
  </r>
  <r>
    <n v="0"/>
    <x v="0"/>
    <s v="Lovell, Mr. John Hall (&quot;Henry&quot;)"/>
    <x v="0"/>
    <n v="20.5"/>
    <n v="0"/>
    <n v="0"/>
    <n v="7.25"/>
    <x v="0"/>
  </r>
  <r>
    <n v="0"/>
    <x v="2"/>
    <s v="Fahlstrom, Mr. Arne Jonas"/>
    <x v="0"/>
    <n v="18"/>
    <n v="0"/>
    <n v="0"/>
    <n v="13"/>
    <x v="0"/>
  </r>
  <r>
    <n v="0"/>
    <x v="0"/>
    <s v="Lefebre, Miss. Mathilde"/>
    <x v="1"/>
    <m/>
    <n v="3"/>
    <n v="1"/>
    <n v="25.466699999999999"/>
    <x v="0"/>
  </r>
  <r>
    <n v="1"/>
    <x v="1"/>
    <s v="Harris, Mrs. Henry Birkhardt (Irene Wallach)"/>
    <x v="1"/>
    <n v="35"/>
    <n v="1"/>
    <n v="0"/>
    <n v="83.474999999999994"/>
    <x v="0"/>
  </r>
  <r>
    <n v="0"/>
    <x v="0"/>
    <s v="Larsson, Mr. Bengt Edvin"/>
    <x v="0"/>
    <n v="29"/>
    <n v="0"/>
    <n v="0"/>
    <n v="7.7750000000000004"/>
    <x v="0"/>
  </r>
  <r>
    <n v="0"/>
    <x v="2"/>
    <s v="Sjostedt, Mr. Ernst Adolf"/>
    <x v="0"/>
    <n v="59"/>
    <n v="0"/>
    <n v="0"/>
    <n v="13.5"/>
    <x v="0"/>
  </r>
  <r>
    <n v="1"/>
    <x v="0"/>
    <s v="Asplund, Miss. Lillian Gertrud"/>
    <x v="1"/>
    <n v="5"/>
    <n v="4"/>
    <n v="2"/>
    <n v="31.387499999999999"/>
    <x v="0"/>
  </r>
  <r>
    <n v="0"/>
    <x v="2"/>
    <s v="Leyson, Mr. Robert William Norman"/>
    <x v="0"/>
    <n v="24"/>
    <n v="0"/>
    <n v="0"/>
    <n v="10.5"/>
    <x v="0"/>
  </r>
  <r>
    <n v="0"/>
    <x v="0"/>
    <s v="Harknett, Miss. Alice Phoebe"/>
    <x v="1"/>
    <m/>
    <n v="0"/>
    <n v="0"/>
    <n v="7.55"/>
    <x v="0"/>
  </r>
  <r>
    <n v="0"/>
    <x v="2"/>
    <s v="Hold, Mr. Stephen"/>
    <x v="0"/>
    <n v="44"/>
    <n v="1"/>
    <n v="0"/>
    <n v="26"/>
    <x v="0"/>
  </r>
  <r>
    <n v="1"/>
    <x v="2"/>
    <s v="Collyer, Miss. Marjorie &quot;Lottie&quot;"/>
    <x v="1"/>
    <n v="8"/>
    <n v="0"/>
    <n v="2"/>
    <n v="26.25"/>
    <x v="0"/>
  </r>
  <r>
    <n v="0"/>
    <x v="2"/>
    <s v="Pengelly, Mr. Frederick William"/>
    <x v="0"/>
    <n v="19"/>
    <n v="0"/>
    <n v="0"/>
    <n v="10.5"/>
    <x v="0"/>
  </r>
  <r>
    <n v="0"/>
    <x v="2"/>
    <s v="Hunt, Mr. George Henry"/>
    <x v="0"/>
    <n v="33"/>
    <n v="0"/>
    <n v="0"/>
    <n v="12.275"/>
    <x v="0"/>
  </r>
  <r>
    <n v="0"/>
    <x v="0"/>
    <s v="Zabour, Miss. Thamine"/>
    <x v="1"/>
    <m/>
    <n v="1"/>
    <n v="0"/>
    <n v="14.4542"/>
    <x v="1"/>
  </r>
  <r>
    <n v="1"/>
    <x v="0"/>
    <s v="Murphy, Miss. Katherine &quot;Kate&quot;"/>
    <x v="1"/>
    <m/>
    <n v="1"/>
    <n v="0"/>
    <n v="15.5"/>
    <x v="2"/>
  </r>
  <r>
    <n v="0"/>
    <x v="2"/>
    <s v="Coleridge, Mr. Reginald Charles"/>
    <x v="0"/>
    <n v="29"/>
    <n v="0"/>
    <n v="0"/>
    <n v="10.5"/>
    <x v="0"/>
  </r>
  <r>
    <n v="0"/>
    <x v="0"/>
    <s v="Maenpaa, Mr. Matti Alexanteri"/>
    <x v="0"/>
    <n v="22"/>
    <n v="0"/>
    <n v="0"/>
    <n v="7.125"/>
    <x v="0"/>
  </r>
  <r>
    <n v="0"/>
    <x v="0"/>
    <s v="Attalah, Mr. Sleiman"/>
    <x v="0"/>
    <n v="30"/>
    <n v="0"/>
    <n v="0"/>
    <n v="7.2249999999999996"/>
    <x v="1"/>
  </r>
  <r>
    <n v="0"/>
    <x v="1"/>
    <s v="Minahan, Dr. William Edward"/>
    <x v="0"/>
    <n v="44"/>
    <n v="2"/>
    <n v="0"/>
    <n v="90"/>
    <x v="2"/>
  </r>
  <r>
    <n v="0"/>
    <x v="0"/>
    <s v="Lindahl, Miss. Agda Thorilda Viktoria"/>
    <x v="1"/>
    <n v="25"/>
    <n v="0"/>
    <n v="0"/>
    <n v="7.7750000000000004"/>
    <x v="0"/>
  </r>
  <r>
    <n v="1"/>
    <x v="2"/>
    <s v="Hamalainen, Mrs. William (Anna)"/>
    <x v="1"/>
    <n v="24"/>
    <n v="0"/>
    <n v="2"/>
    <n v="14.5"/>
    <x v="0"/>
  </r>
  <r>
    <n v="1"/>
    <x v="1"/>
    <s v="Beckwith, Mr. Richard Leonard"/>
    <x v="0"/>
    <n v="37"/>
    <n v="1"/>
    <n v="1"/>
    <n v="52.554200000000002"/>
    <x v="0"/>
  </r>
  <r>
    <n v="0"/>
    <x v="2"/>
    <s v="Carter, Rev. Ernest Courtenay"/>
    <x v="0"/>
    <n v="54"/>
    <n v="1"/>
    <n v="0"/>
    <n v="26"/>
    <x v="0"/>
  </r>
  <r>
    <n v="0"/>
    <x v="0"/>
    <s v="Reed, Mr. James George"/>
    <x v="0"/>
    <m/>
    <n v="0"/>
    <n v="0"/>
    <n v="7.25"/>
    <x v="0"/>
  </r>
  <r>
    <n v="0"/>
    <x v="0"/>
    <s v="Strom, Mrs. Wilhelm (Elna Matilda Persson)"/>
    <x v="1"/>
    <n v="29"/>
    <n v="1"/>
    <n v="1"/>
    <n v="10.4625"/>
    <x v="0"/>
  </r>
  <r>
    <n v="0"/>
    <x v="1"/>
    <s v="Stead, Mr. William Thomas"/>
    <x v="0"/>
    <n v="62"/>
    <n v="0"/>
    <n v="0"/>
    <n v="26.55"/>
    <x v="0"/>
  </r>
  <r>
    <n v="0"/>
    <x v="0"/>
    <s v="Lobb, Mr. William Arthur"/>
    <x v="0"/>
    <n v="30"/>
    <n v="1"/>
    <n v="0"/>
    <n v="16.100000000000001"/>
    <x v="0"/>
  </r>
  <r>
    <n v="0"/>
    <x v="0"/>
    <s v="Rosblom, Mrs. Viktor (Helena Wilhelmina)"/>
    <x v="1"/>
    <n v="41"/>
    <n v="0"/>
    <n v="2"/>
    <n v="20.212499999999999"/>
    <x v="0"/>
  </r>
  <r>
    <n v="1"/>
    <x v="0"/>
    <s v="Touma, Mrs. Darwis (Hanne Youssef Razi)"/>
    <x v="1"/>
    <n v="29"/>
    <n v="0"/>
    <n v="2"/>
    <n v="15.245799999999999"/>
    <x v="1"/>
  </r>
  <r>
    <n v="1"/>
    <x v="1"/>
    <s v="Thorne, Mrs. Gertrude Maybelle"/>
    <x v="1"/>
    <m/>
    <n v="0"/>
    <n v="0"/>
    <n v="79.2"/>
    <x v="1"/>
  </r>
  <r>
    <n v="1"/>
    <x v="1"/>
    <s v="Cherry, Miss. Gladys"/>
    <x v="1"/>
    <n v="30"/>
    <n v="0"/>
    <n v="0"/>
    <n v="86.5"/>
    <x v="0"/>
  </r>
  <r>
    <n v="1"/>
    <x v="1"/>
    <s v="Ward, Miss. Anna"/>
    <x v="1"/>
    <n v="35"/>
    <n v="0"/>
    <n v="0"/>
    <n v="512.32920000000001"/>
    <x v="1"/>
  </r>
  <r>
    <n v="1"/>
    <x v="2"/>
    <s v="Parrish, Mrs. (Lutie Davis)"/>
    <x v="1"/>
    <n v="50"/>
    <n v="0"/>
    <n v="1"/>
    <n v="26"/>
    <x v="0"/>
  </r>
  <r>
    <n v="0"/>
    <x v="0"/>
    <s v="Smith, Mr. Thomas"/>
    <x v="0"/>
    <m/>
    <n v="0"/>
    <n v="0"/>
    <n v="7.75"/>
    <x v="2"/>
  </r>
  <r>
    <n v="1"/>
    <x v="0"/>
    <s v="Asplund, Master. Edvin Rojj Felix"/>
    <x v="0"/>
    <n v="3"/>
    <n v="4"/>
    <n v="2"/>
    <n v="31.387499999999999"/>
    <x v="0"/>
  </r>
  <r>
    <n v="0"/>
    <x v="1"/>
    <s v="Taussig, Mr. Emil"/>
    <x v="0"/>
    <n v="52"/>
    <n v="1"/>
    <n v="1"/>
    <n v="79.650000000000006"/>
    <x v="0"/>
  </r>
  <r>
    <n v="0"/>
    <x v="1"/>
    <s v="Harrison, Mr. William"/>
    <x v="0"/>
    <n v="40"/>
    <n v="0"/>
    <n v="0"/>
    <n v="0"/>
    <x v="0"/>
  </r>
  <r>
    <n v="0"/>
    <x v="0"/>
    <s v="Henry, Miss. Delia"/>
    <x v="1"/>
    <m/>
    <n v="0"/>
    <n v="0"/>
    <n v="7.75"/>
    <x v="2"/>
  </r>
  <r>
    <n v="0"/>
    <x v="2"/>
    <s v="Reeves, Mr. David"/>
    <x v="0"/>
    <n v="36"/>
    <n v="0"/>
    <n v="0"/>
    <n v="10.5"/>
    <x v="0"/>
  </r>
  <r>
    <n v="0"/>
    <x v="0"/>
    <s v="Panula, Mr. Ernesti Arvid"/>
    <x v="0"/>
    <n v="16"/>
    <n v="4"/>
    <n v="1"/>
    <n v="39.6875"/>
    <x v="0"/>
  </r>
  <r>
    <n v="1"/>
    <x v="0"/>
    <s v="Persson, Mr. Ernst Ulrik"/>
    <x v="0"/>
    <n v="25"/>
    <n v="1"/>
    <n v="0"/>
    <n v="7.7750000000000004"/>
    <x v="0"/>
  </r>
  <r>
    <n v="1"/>
    <x v="1"/>
    <s v="Graham, Mrs. William Thompson (Edith Junkins)"/>
    <x v="1"/>
    <n v="58"/>
    <n v="0"/>
    <n v="1"/>
    <n v="153.46250000000001"/>
    <x v="0"/>
  </r>
  <r>
    <n v="1"/>
    <x v="1"/>
    <s v="Bissette, Miss. Amelia"/>
    <x v="1"/>
    <n v="35"/>
    <n v="0"/>
    <n v="0"/>
    <n v="135.63329999999999"/>
    <x v="0"/>
  </r>
  <r>
    <n v="0"/>
    <x v="1"/>
    <s v="Cairns, Mr. Alexander"/>
    <x v="0"/>
    <m/>
    <n v="0"/>
    <n v="0"/>
    <n v="31"/>
    <x v="0"/>
  </r>
  <r>
    <n v="1"/>
    <x v="0"/>
    <s v="Tornquist, Mr. William Henry"/>
    <x v="0"/>
    <n v="25"/>
    <n v="0"/>
    <n v="0"/>
    <n v="0"/>
    <x v="0"/>
  </r>
  <r>
    <n v="1"/>
    <x v="2"/>
    <s v="Mellinger, Mrs. (Elizabeth Anne Maidment)"/>
    <x v="1"/>
    <n v="41"/>
    <n v="0"/>
    <n v="1"/>
    <n v="19.5"/>
    <x v="0"/>
  </r>
  <r>
    <n v="0"/>
    <x v="1"/>
    <s v="Natsch, Mr. Charles H"/>
    <x v="0"/>
    <n v="37"/>
    <n v="0"/>
    <n v="1"/>
    <n v="29.7"/>
    <x v="1"/>
  </r>
  <r>
    <n v="1"/>
    <x v="0"/>
    <s v="Healy, Miss. Hanora &quot;Nora&quot;"/>
    <x v="1"/>
    <m/>
    <n v="0"/>
    <n v="0"/>
    <n v="7.75"/>
    <x v="2"/>
  </r>
  <r>
    <n v="1"/>
    <x v="1"/>
    <s v="Andrews, Miss. Kornelia Theodosia"/>
    <x v="1"/>
    <n v="63"/>
    <n v="1"/>
    <n v="0"/>
    <n v="77.958299999999994"/>
    <x v="0"/>
  </r>
  <r>
    <n v="0"/>
    <x v="0"/>
    <s v="Lindblom, Miss. Augusta Charlotta"/>
    <x v="1"/>
    <n v="45"/>
    <n v="0"/>
    <n v="0"/>
    <n v="7.75"/>
    <x v="0"/>
  </r>
  <r>
    <n v="0"/>
    <x v="2"/>
    <s v="Parkes, Mr. Francis &quot;Frank&quot;"/>
    <x v="0"/>
    <m/>
    <n v="0"/>
    <n v="0"/>
    <n v="0"/>
    <x v="0"/>
  </r>
  <r>
    <n v="0"/>
    <x v="0"/>
    <s v="Rice, Master. Eric"/>
    <x v="0"/>
    <n v="7"/>
    <n v="4"/>
    <n v="1"/>
    <n v="29.125"/>
    <x v="2"/>
  </r>
  <r>
    <n v="1"/>
    <x v="0"/>
    <s v="Abbott, Mrs. Stanton (Rosa Hunt)"/>
    <x v="1"/>
    <n v="35"/>
    <n v="1"/>
    <n v="1"/>
    <n v="20.25"/>
    <x v="0"/>
  </r>
  <r>
    <n v="0"/>
    <x v="0"/>
    <s v="Duane, Mr. Frank"/>
    <x v="0"/>
    <n v="65"/>
    <n v="0"/>
    <n v="0"/>
    <n v="7.75"/>
    <x v="2"/>
  </r>
  <r>
    <n v="0"/>
    <x v="0"/>
    <s v="Olsson, Mr. Nils Johan Goransson"/>
    <x v="0"/>
    <n v="28"/>
    <n v="0"/>
    <n v="0"/>
    <n v="7.8541999999999996"/>
    <x v="0"/>
  </r>
  <r>
    <n v="0"/>
    <x v="0"/>
    <s v="de Pelsmaeker, Mr. Alfons"/>
    <x v="0"/>
    <n v="16"/>
    <n v="0"/>
    <n v="0"/>
    <n v="9.5"/>
    <x v="0"/>
  </r>
  <r>
    <n v="1"/>
    <x v="0"/>
    <s v="Dorking, Mr. Edward Arthur"/>
    <x v="0"/>
    <n v="19"/>
    <n v="0"/>
    <n v="0"/>
    <n v="8.0500000000000007"/>
    <x v="0"/>
  </r>
  <r>
    <n v="0"/>
    <x v="1"/>
    <s v="Smith, Mr. Richard William"/>
    <x v="0"/>
    <m/>
    <n v="0"/>
    <n v="0"/>
    <n v="26"/>
    <x v="0"/>
  </r>
  <r>
    <n v="0"/>
    <x v="0"/>
    <s v="Stankovic, Mr. Ivan"/>
    <x v="0"/>
    <n v="33"/>
    <n v="0"/>
    <n v="0"/>
    <n v="8.6624999999999996"/>
    <x v="1"/>
  </r>
  <r>
    <n v="1"/>
    <x v="0"/>
    <s v="de Mulder, Mr. Theodore"/>
    <x v="0"/>
    <n v="30"/>
    <n v="0"/>
    <n v="0"/>
    <n v="9.5"/>
    <x v="0"/>
  </r>
  <r>
    <n v="0"/>
    <x v="0"/>
    <s v="Naidenoff, Mr. Penko"/>
    <x v="0"/>
    <n v="22"/>
    <n v="0"/>
    <n v="0"/>
    <n v="7.8958000000000004"/>
    <x v="0"/>
  </r>
  <r>
    <n v="1"/>
    <x v="2"/>
    <s v="Hosono, Mr. Masabumi"/>
    <x v="0"/>
    <n v="42"/>
    <n v="0"/>
    <n v="0"/>
    <n v="13"/>
    <x v="0"/>
  </r>
  <r>
    <n v="1"/>
    <x v="0"/>
    <s v="Connolly, Miss. Kate"/>
    <x v="1"/>
    <n v="22"/>
    <n v="0"/>
    <n v="0"/>
    <n v="7.75"/>
    <x v="2"/>
  </r>
  <r>
    <n v="1"/>
    <x v="1"/>
    <s v="Barber, Miss. Ellen &quot;Nellie&quot;"/>
    <x v="1"/>
    <n v="26"/>
    <n v="0"/>
    <n v="0"/>
    <n v="78.849999999999994"/>
    <x v="0"/>
  </r>
  <r>
    <n v="1"/>
    <x v="1"/>
    <s v="Bishop, Mrs. Dickinson H (Helen Walton)"/>
    <x v="1"/>
    <n v="19"/>
    <n v="1"/>
    <n v="0"/>
    <n v="91.0792"/>
    <x v="1"/>
  </r>
  <r>
    <n v="0"/>
    <x v="2"/>
    <s v="Levy, Mr. Rene Jacques"/>
    <x v="0"/>
    <n v="36"/>
    <n v="0"/>
    <n v="0"/>
    <n v="12.875"/>
    <x v="1"/>
  </r>
  <r>
    <n v="0"/>
    <x v="0"/>
    <s v="Haas, Miss. Aloisia"/>
    <x v="1"/>
    <n v="24"/>
    <n v="0"/>
    <n v="0"/>
    <n v="8.85"/>
    <x v="0"/>
  </r>
  <r>
    <n v="0"/>
    <x v="0"/>
    <s v="Mineff, Mr. Ivan"/>
    <x v="0"/>
    <n v="24"/>
    <n v="0"/>
    <n v="0"/>
    <n v="7.8958000000000004"/>
    <x v="0"/>
  </r>
  <r>
    <n v="0"/>
    <x v="1"/>
    <s v="Lewy, Mr. Ervin G"/>
    <x v="0"/>
    <m/>
    <n v="0"/>
    <n v="0"/>
    <n v="27.720800000000001"/>
    <x v="1"/>
  </r>
  <r>
    <n v="0"/>
    <x v="0"/>
    <s v="Hanna, Mr. Mansour"/>
    <x v="0"/>
    <n v="23.5"/>
    <n v="0"/>
    <n v="0"/>
    <n v="7.2291999999999996"/>
    <x v="1"/>
  </r>
  <r>
    <n v="0"/>
    <x v="1"/>
    <s v="Allison, Miss. Helen Loraine"/>
    <x v="1"/>
    <n v="2"/>
    <n v="1"/>
    <n v="2"/>
    <n v="151.55000000000001"/>
    <x v="0"/>
  </r>
  <r>
    <n v="1"/>
    <x v="1"/>
    <s v="Saalfeld, Mr. Adolphe"/>
    <x v="0"/>
    <m/>
    <n v="0"/>
    <n v="0"/>
    <n v="30.5"/>
    <x v="0"/>
  </r>
  <r>
    <n v="1"/>
    <x v="1"/>
    <s v="Baxter, Mrs. James (Helene DeLaudeniere Chaput)"/>
    <x v="1"/>
    <n v="50"/>
    <n v="0"/>
    <n v="1"/>
    <n v="247.52080000000001"/>
    <x v="1"/>
  </r>
  <r>
    <n v="1"/>
    <x v="0"/>
    <s v="Kelly, Miss. Anna Katherine &quot;Annie Kate&quot;"/>
    <x v="1"/>
    <m/>
    <n v="0"/>
    <n v="0"/>
    <n v="7.75"/>
    <x v="2"/>
  </r>
  <r>
    <n v="1"/>
    <x v="0"/>
    <s v="McCoy, Mr. Bernard"/>
    <x v="0"/>
    <m/>
    <n v="2"/>
    <n v="0"/>
    <n v="23.25"/>
    <x v="2"/>
  </r>
  <r>
    <n v="0"/>
    <x v="0"/>
    <s v="Johnson, Mr. William Cahoone Jr"/>
    <x v="0"/>
    <n v="19"/>
    <n v="0"/>
    <n v="0"/>
    <n v="0"/>
    <x v="0"/>
  </r>
  <r>
    <n v="1"/>
    <x v="2"/>
    <s v="Keane, Miss. Nora A"/>
    <x v="1"/>
    <m/>
    <n v="0"/>
    <n v="0"/>
    <n v="12.35"/>
    <x v="2"/>
  </r>
  <r>
    <n v="0"/>
    <x v="0"/>
    <s v="Williams, Mr. Howard Hugh &quot;Harry&quot;"/>
    <x v="0"/>
    <m/>
    <n v="0"/>
    <n v="0"/>
    <n v="8.0500000000000007"/>
    <x v="0"/>
  </r>
  <r>
    <n v="1"/>
    <x v="1"/>
    <s v="Allison, Master. Hudson Trevor"/>
    <x v="0"/>
    <n v="0.92"/>
    <n v="1"/>
    <n v="2"/>
    <n v="151.55000000000001"/>
    <x v="0"/>
  </r>
  <r>
    <n v="1"/>
    <x v="1"/>
    <s v="Fleming, Miss. Margaret"/>
    <x v="1"/>
    <m/>
    <n v="0"/>
    <n v="0"/>
    <n v="110.88330000000001"/>
    <x v="1"/>
  </r>
  <r>
    <n v="1"/>
    <x v="1"/>
    <s v="Penasco y Castellana, Mrs. Victor de Satode (Maria Josefa Perez de Soto y Vallejo)"/>
    <x v="1"/>
    <n v="17"/>
    <n v="1"/>
    <n v="0"/>
    <n v="108.9"/>
    <x v="1"/>
  </r>
  <r>
    <n v="0"/>
    <x v="2"/>
    <s v="Abelson, Mr. Samuel"/>
    <x v="0"/>
    <n v="30"/>
    <n v="1"/>
    <n v="0"/>
    <n v="24"/>
    <x v="1"/>
  </r>
  <r>
    <n v="1"/>
    <x v="1"/>
    <s v="Francatelli, Miss. Laura Mabel"/>
    <x v="1"/>
    <n v="30"/>
    <n v="0"/>
    <n v="0"/>
    <n v="56.929200000000002"/>
    <x v="1"/>
  </r>
  <r>
    <n v="1"/>
    <x v="1"/>
    <s v="Hays, Miss. Margaret Bechstein"/>
    <x v="1"/>
    <n v="24"/>
    <n v="0"/>
    <n v="0"/>
    <n v="83.158299999999997"/>
    <x v="1"/>
  </r>
  <r>
    <n v="1"/>
    <x v="1"/>
    <s v="Ryerson, Miss. Emily Borie"/>
    <x v="1"/>
    <n v="18"/>
    <n v="2"/>
    <n v="2"/>
    <n v="262.375"/>
    <x v="1"/>
  </r>
  <r>
    <n v="0"/>
    <x v="2"/>
    <s v="Lahtinen, Mrs. William (Anna Sylfven)"/>
    <x v="1"/>
    <n v="26"/>
    <n v="1"/>
    <n v="1"/>
    <n v="26"/>
    <x v="0"/>
  </r>
  <r>
    <n v="0"/>
    <x v="0"/>
    <s v="Hendekovic, Mr. Ignjac"/>
    <x v="0"/>
    <n v="28"/>
    <n v="0"/>
    <n v="0"/>
    <n v="7.8958000000000004"/>
    <x v="0"/>
  </r>
  <r>
    <n v="0"/>
    <x v="2"/>
    <s v="Hart, Mr. Benjamin"/>
    <x v="0"/>
    <n v="43"/>
    <n v="1"/>
    <n v="1"/>
    <n v="26.25"/>
    <x v="0"/>
  </r>
  <r>
    <n v="1"/>
    <x v="0"/>
    <s v="Nilsson, Miss. Helmina Josefina"/>
    <x v="1"/>
    <n v="26"/>
    <n v="0"/>
    <n v="0"/>
    <n v="7.8541999999999996"/>
    <x v="0"/>
  </r>
  <r>
    <n v="1"/>
    <x v="2"/>
    <s v="Kantor, Mrs. Sinai (Miriam Sternin)"/>
    <x v="1"/>
    <n v="24"/>
    <n v="1"/>
    <n v="0"/>
    <n v="26"/>
    <x v="0"/>
  </r>
  <r>
    <n v="0"/>
    <x v="2"/>
    <s v="Moraweck, Dr. Ernest"/>
    <x v="0"/>
    <n v="54"/>
    <n v="0"/>
    <n v="0"/>
    <n v="14"/>
    <x v="0"/>
  </r>
  <r>
    <n v="1"/>
    <x v="1"/>
    <s v="Wick, Miss. Mary Natalie"/>
    <x v="1"/>
    <n v="31"/>
    <n v="0"/>
    <n v="2"/>
    <n v="164.86670000000001"/>
    <x v="0"/>
  </r>
  <r>
    <n v="1"/>
    <x v="1"/>
    <s v="Spedden, Mrs. Frederic Oakley (Margaretta Corning Stone)"/>
    <x v="1"/>
    <n v="40"/>
    <n v="1"/>
    <n v="1"/>
    <n v="134.5"/>
    <x v="1"/>
  </r>
  <r>
    <n v="0"/>
    <x v="0"/>
    <s v="Dennis, Mr. Samuel"/>
    <x v="0"/>
    <n v="22"/>
    <n v="0"/>
    <n v="0"/>
    <n v="7.25"/>
    <x v="0"/>
  </r>
  <r>
    <n v="0"/>
    <x v="0"/>
    <s v="Danoff, Mr. Yoto"/>
    <x v="0"/>
    <n v="27"/>
    <n v="0"/>
    <n v="0"/>
    <n v="7.8958000000000004"/>
    <x v="0"/>
  </r>
  <r>
    <n v="1"/>
    <x v="2"/>
    <s v="Slayter, Miss. Hilda Mary"/>
    <x v="1"/>
    <n v="30"/>
    <n v="0"/>
    <n v="0"/>
    <n v="12.35"/>
    <x v="2"/>
  </r>
  <r>
    <n v="1"/>
    <x v="2"/>
    <s v="Caldwell, Mrs. Albert Francis (Sylvia Mae Harbaugh)"/>
    <x v="1"/>
    <n v="22"/>
    <n v="1"/>
    <n v="1"/>
    <n v="29"/>
    <x v="0"/>
  </r>
  <r>
    <n v="0"/>
    <x v="0"/>
    <s v="Sage, Mr. George John Jr"/>
    <x v="0"/>
    <m/>
    <n v="8"/>
    <n v="2"/>
    <n v="69.55"/>
    <x v="0"/>
  </r>
  <r>
    <n v="1"/>
    <x v="1"/>
    <s v="Young, Miss. Marie Grice"/>
    <x v="1"/>
    <n v="36"/>
    <n v="0"/>
    <n v="0"/>
    <n v="135.63329999999999"/>
    <x v="1"/>
  </r>
  <r>
    <n v="0"/>
    <x v="0"/>
    <s v="Nysveen, Mr. Johan Hansen"/>
    <x v="0"/>
    <n v="61"/>
    <n v="0"/>
    <n v="0"/>
    <n v="6.2374999999999998"/>
    <x v="0"/>
  </r>
  <r>
    <n v="1"/>
    <x v="2"/>
    <s v="Ball, Mrs. (Ada E Hall)"/>
    <x v="1"/>
    <n v="36"/>
    <n v="0"/>
    <n v="0"/>
    <n v="13"/>
    <x v="0"/>
  </r>
  <r>
    <n v="1"/>
    <x v="0"/>
    <s v="Goldsmith, Mrs. Frank John (Emily Alice Brown)"/>
    <x v="1"/>
    <n v="31"/>
    <n v="1"/>
    <n v="1"/>
    <n v="20.524999999999999"/>
    <x v="0"/>
  </r>
  <r>
    <n v="1"/>
    <x v="1"/>
    <s v="Hippach, Miss. Jean Gertrude"/>
    <x v="1"/>
    <n v="16"/>
    <n v="0"/>
    <n v="1"/>
    <n v="57.979199999999999"/>
    <x v="1"/>
  </r>
  <r>
    <n v="1"/>
    <x v="0"/>
    <s v="McCoy, Miss. Agnes"/>
    <x v="1"/>
    <m/>
    <n v="2"/>
    <n v="0"/>
    <n v="23.25"/>
    <x v="2"/>
  </r>
  <r>
    <n v="0"/>
    <x v="1"/>
    <s v="Partner, Mr. Austen"/>
    <x v="0"/>
    <n v="45.5"/>
    <n v="0"/>
    <n v="0"/>
    <n v="28.5"/>
    <x v="0"/>
  </r>
  <r>
    <n v="0"/>
    <x v="1"/>
    <s v="Graham, Mr. George Edward"/>
    <x v="0"/>
    <n v="38"/>
    <n v="0"/>
    <n v="1"/>
    <n v="153.46250000000001"/>
    <x v="0"/>
  </r>
  <r>
    <n v="0"/>
    <x v="0"/>
    <s v="Vander Planke, Mr. Leo Edmondus"/>
    <x v="0"/>
    <n v="16"/>
    <n v="2"/>
    <n v="0"/>
    <n v="18"/>
    <x v="0"/>
  </r>
  <r>
    <n v="1"/>
    <x v="1"/>
    <s v="Frauenthal, Mrs. Henry William (Clara Heinsheimer)"/>
    <x v="1"/>
    <m/>
    <n v="1"/>
    <n v="0"/>
    <n v="133.65"/>
    <x v="0"/>
  </r>
  <r>
    <n v="0"/>
    <x v="0"/>
    <s v="Denkoff, Mr. Mitto"/>
    <x v="0"/>
    <m/>
    <n v="0"/>
    <n v="0"/>
    <n v="7.8958000000000004"/>
    <x v="0"/>
  </r>
  <r>
    <n v="0"/>
    <x v="1"/>
    <s v="Pears, Mr. Thomas Clinton"/>
    <x v="0"/>
    <n v="29"/>
    <n v="1"/>
    <n v="0"/>
    <n v="66.599999999999994"/>
    <x v="0"/>
  </r>
  <r>
    <n v="1"/>
    <x v="1"/>
    <s v="Burns, Miss. Elizabeth Margaret"/>
    <x v="1"/>
    <n v="41"/>
    <n v="0"/>
    <n v="0"/>
    <n v="134.5"/>
    <x v="1"/>
  </r>
  <r>
    <n v="1"/>
    <x v="0"/>
    <s v="Dahl, Mr. Karl Edwart"/>
    <x v="0"/>
    <n v="45"/>
    <n v="0"/>
    <n v="0"/>
    <n v="8.0500000000000007"/>
    <x v="0"/>
  </r>
  <r>
    <n v="0"/>
    <x v="1"/>
    <s v="Blackwell, Mr. Stephen Weart"/>
    <x v="0"/>
    <n v="45"/>
    <n v="0"/>
    <n v="0"/>
    <n v="35.5"/>
    <x v="0"/>
  </r>
  <r>
    <n v="1"/>
    <x v="2"/>
    <s v="Navratil, Master. Edmond Roger"/>
    <x v="0"/>
    <n v="2"/>
    <n v="1"/>
    <n v="1"/>
    <n v="26"/>
    <x v="0"/>
  </r>
  <r>
    <n v="1"/>
    <x v="1"/>
    <s v="Fortune, Miss. Alice Elizabeth"/>
    <x v="1"/>
    <n v="24"/>
    <n v="3"/>
    <n v="2"/>
    <n v="263"/>
    <x v="0"/>
  </r>
  <r>
    <n v="0"/>
    <x v="2"/>
    <s v="Collander, Mr. Erik Gustaf"/>
    <x v="0"/>
    <n v="28"/>
    <n v="0"/>
    <n v="0"/>
    <n v="13"/>
    <x v="0"/>
  </r>
  <r>
    <n v="0"/>
    <x v="2"/>
    <s v="Sedgwick, Mr. Charles Frederick Waddington"/>
    <x v="0"/>
    <n v="25"/>
    <n v="0"/>
    <n v="0"/>
    <n v="13"/>
    <x v="0"/>
  </r>
  <r>
    <n v="0"/>
    <x v="2"/>
    <s v="Fox, Mr. Stanley Hubert"/>
    <x v="0"/>
    <n v="36"/>
    <n v="0"/>
    <n v="0"/>
    <n v="13"/>
    <x v="0"/>
  </r>
  <r>
    <n v="1"/>
    <x v="2"/>
    <s v="Brown, Miss. Amelia &quot;Mildred&quot;"/>
    <x v="1"/>
    <n v="24"/>
    <n v="0"/>
    <n v="0"/>
    <n v="13"/>
    <x v="0"/>
  </r>
  <r>
    <n v="1"/>
    <x v="2"/>
    <s v="Smith, Miss. Marion Elsie"/>
    <x v="1"/>
    <n v="40"/>
    <n v="0"/>
    <n v="0"/>
    <n v="13"/>
    <x v="0"/>
  </r>
  <r>
    <n v="1"/>
    <x v="0"/>
    <s v="Davison, Mrs. Thomas Henry (Mary E Finck)"/>
    <x v="1"/>
    <m/>
    <n v="1"/>
    <n v="0"/>
    <n v="16.100000000000001"/>
    <x v="0"/>
  </r>
  <r>
    <n v="1"/>
    <x v="0"/>
    <s v="Coutts, Master. William Loch &quot;William&quot;"/>
    <x v="0"/>
    <n v="3"/>
    <n v="1"/>
    <n v="1"/>
    <n v="15.9"/>
    <x v="0"/>
  </r>
  <r>
    <n v="0"/>
    <x v="0"/>
    <s v="Dimic, Mr. Jovan"/>
    <x v="0"/>
    <n v="42"/>
    <n v="0"/>
    <n v="0"/>
    <n v="8.6624999999999996"/>
    <x v="0"/>
  </r>
  <r>
    <n v="0"/>
    <x v="0"/>
    <s v="Odahl, Mr. Nils Martin"/>
    <x v="0"/>
    <n v="23"/>
    <n v="0"/>
    <n v="0"/>
    <n v="9.2249999999999996"/>
    <x v="0"/>
  </r>
  <r>
    <n v="0"/>
    <x v="1"/>
    <s v="Williams-Lambert, Mr. Fletcher Fellows"/>
    <x v="0"/>
    <m/>
    <n v="0"/>
    <n v="0"/>
    <n v="35"/>
    <x v="0"/>
  </r>
  <r>
    <n v="0"/>
    <x v="0"/>
    <s v="Elias, Mr. Tannous"/>
    <x v="0"/>
    <n v="15"/>
    <n v="1"/>
    <n v="1"/>
    <n v="7.2291999999999996"/>
    <x v="1"/>
  </r>
  <r>
    <n v="0"/>
    <x v="0"/>
    <s v="Arnold-Franchi, Mr. Josef"/>
    <x v="0"/>
    <n v="25"/>
    <n v="1"/>
    <n v="0"/>
    <n v="17.8"/>
    <x v="0"/>
  </r>
  <r>
    <n v="0"/>
    <x v="0"/>
    <s v="Yousif, Mr. Wazli"/>
    <x v="0"/>
    <m/>
    <n v="0"/>
    <n v="0"/>
    <n v="7.2249999999999996"/>
    <x v="1"/>
  </r>
  <r>
    <n v="0"/>
    <x v="0"/>
    <s v="Vanden Steen, Mr. Leo Peter"/>
    <x v="0"/>
    <n v="28"/>
    <n v="0"/>
    <n v="0"/>
    <n v="9.5"/>
    <x v="0"/>
  </r>
  <r>
    <n v="1"/>
    <x v="1"/>
    <s v="Bowerman, Miss. Elsie Edith"/>
    <x v="1"/>
    <n v="22"/>
    <n v="0"/>
    <n v="1"/>
    <n v="55"/>
    <x v="0"/>
  </r>
  <r>
    <n v="0"/>
    <x v="2"/>
    <s v="Funk, Miss. Annie Clemmer"/>
    <x v="1"/>
    <n v="38"/>
    <n v="0"/>
    <n v="0"/>
    <n v="13"/>
    <x v="0"/>
  </r>
  <r>
    <n v="1"/>
    <x v="0"/>
    <s v="McGovern, Miss. Mary"/>
    <x v="1"/>
    <m/>
    <n v="0"/>
    <n v="0"/>
    <n v="7.8792"/>
    <x v="2"/>
  </r>
  <r>
    <n v="1"/>
    <x v="0"/>
    <s v="Mockler, Miss. Helen Mary &quot;Ellie&quot;"/>
    <x v="1"/>
    <m/>
    <n v="0"/>
    <n v="0"/>
    <n v="7.8792"/>
    <x v="2"/>
  </r>
  <r>
    <n v="0"/>
    <x v="0"/>
    <s v="Skoog, Mr. Wilhelm"/>
    <x v="0"/>
    <n v="40"/>
    <n v="1"/>
    <n v="4"/>
    <n v="27.9"/>
    <x v="0"/>
  </r>
  <r>
    <n v="0"/>
    <x v="2"/>
    <s v="del Carlo, Mr. Sebastiano"/>
    <x v="0"/>
    <n v="29"/>
    <n v="1"/>
    <n v="0"/>
    <n v="27.720800000000001"/>
    <x v="1"/>
  </r>
  <r>
    <n v="0"/>
    <x v="0"/>
    <s v="Barbara, Mrs. (Catherine David)"/>
    <x v="1"/>
    <n v="45"/>
    <n v="0"/>
    <n v="1"/>
    <n v="14.4542"/>
    <x v="1"/>
  </r>
  <r>
    <n v="0"/>
    <x v="0"/>
    <s v="Asim, Mr. Adola"/>
    <x v="0"/>
    <n v="35"/>
    <n v="0"/>
    <n v="0"/>
    <n v="7.05"/>
    <x v="0"/>
  </r>
  <r>
    <n v="0"/>
    <x v="0"/>
    <s v="O'Brien, Mr. Thomas"/>
    <x v="0"/>
    <m/>
    <n v="1"/>
    <n v="0"/>
    <n v="15.5"/>
    <x v="2"/>
  </r>
  <r>
    <n v="0"/>
    <x v="0"/>
    <s v="Adahl, Mr. Mauritz Nils Martin"/>
    <x v="0"/>
    <n v="30"/>
    <n v="0"/>
    <n v="0"/>
    <n v="7.25"/>
    <x v="0"/>
  </r>
  <r>
    <n v="1"/>
    <x v="1"/>
    <s v="Warren, Mrs. Frank Manley (Anna Sophia Atkinson)"/>
    <x v="1"/>
    <n v="60"/>
    <n v="1"/>
    <n v="0"/>
    <n v="75.25"/>
    <x v="1"/>
  </r>
  <r>
    <n v="1"/>
    <x v="0"/>
    <s v="Moussa, Mrs. (Mantoura Boulos)"/>
    <x v="1"/>
    <m/>
    <n v="0"/>
    <n v="0"/>
    <n v="7.2291999999999996"/>
    <x v="1"/>
  </r>
  <r>
    <n v="1"/>
    <x v="0"/>
    <s v="Jermyn, Miss. Annie"/>
    <x v="1"/>
    <m/>
    <n v="0"/>
    <n v="0"/>
    <n v="7.75"/>
    <x v="2"/>
  </r>
  <r>
    <n v="1"/>
    <x v="1"/>
    <s v="Aubart, Mme. Leontine Pauline"/>
    <x v="1"/>
    <n v="24"/>
    <n v="0"/>
    <n v="0"/>
    <n v="69.3"/>
    <x v="1"/>
  </r>
  <r>
    <n v="1"/>
    <x v="1"/>
    <s v="Harder, Mr. George Achilles"/>
    <x v="0"/>
    <n v="25"/>
    <n v="1"/>
    <n v="0"/>
    <n v="55.441699999999997"/>
    <x v="1"/>
  </r>
  <r>
    <n v="0"/>
    <x v="0"/>
    <s v="Wiklund, Mr. Jakob Alfred"/>
    <x v="0"/>
    <n v="18"/>
    <n v="1"/>
    <n v="0"/>
    <n v="6.4958"/>
    <x v="0"/>
  </r>
  <r>
    <n v="0"/>
    <x v="0"/>
    <s v="Beavan, Mr. William Thomas"/>
    <x v="0"/>
    <n v="19"/>
    <n v="0"/>
    <n v="0"/>
    <n v="8.0500000000000007"/>
    <x v="0"/>
  </r>
  <r>
    <n v="0"/>
    <x v="1"/>
    <s v="Ringhini, Mr. Sante"/>
    <x v="0"/>
    <n v="22"/>
    <n v="0"/>
    <n v="0"/>
    <n v="135.63329999999999"/>
    <x v="1"/>
  </r>
  <r>
    <n v="0"/>
    <x v="0"/>
    <s v="Palsson, Miss. Stina Viola"/>
    <x v="1"/>
    <n v="3"/>
    <n v="3"/>
    <n v="1"/>
    <n v="21.074999999999999"/>
    <x v="0"/>
  </r>
  <r>
    <n v="1"/>
    <x v="1"/>
    <s v="Meyer, Mrs. Edgar Joseph (Leila Saks)"/>
    <x v="1"/>
    <m/>
    <n v="1"/>
    <n v="0"/>
    <n v="82.1708"/>
    <x v="1"/>
  </r>
  <r>
    <n v="1"/>
    <x v="0"/>
    <s v="Landergren, Miss. Aurora Adelia"/>
    <x v="1"/>
    <n v="22"/>
    <n v="0"/>
    <n v="0"/>
    <n v="7.25"/>
    <x v="0"/>
  </r>
  <r>
    <n v="0"/>
    <x v="1"/>
    <s v="Widener, Mr. Harry Elkins"/>
    <x v="0"/>
    <n v="27"/>
    <n v="0"/>
    <n v="2"/>
    <n v="211.5"/>
    <x v="1"/>
  </r>
  <r>
    <n v="0"/>
    <x v="0"/>
    <s v="Betros, Mr. Tannous"/>
    <x v="0"/>
    <n v="20"/>
    <n v="0"/>
    <n v="0"/>
    <n v="4.0125000000000002"/>
    <x v="1"/>
  </r>
  <r>
    <n v="0"/>
    <x v="0"/>
    <s v="Gustafsson, Mr. Karl Gideon"/>
    <x v="0"/>
    <n v="19"/>
    <n v="0"/>
    <n v="0"/>
    <n v="7.7750000000000004"/>
    <x v="0"/>
  </r>
  <r>
    <n v="1"/>
    <x v="1"/>
    <s v="Bidois, Miss. Rosalie"/>
    <x v="1"/>
    <n v="42"/>
    <n v="0"/>
    <n v="0"/>
    <n v="227.52500000000001"/>
    <x v="1"/>
  </r>
  <r>
    <n v="1"/>
    <x v="0"/>
    <s v="Nakid, Miss. Maria (&quot;Mary&quot;)"/>
    <x v="1"/>
    <n v="1"/>
    <n v="0"/>
    <n v="2"/>
    <n v="15.7417"/>
    <x v="1"/>
  </r>
  <r>
    <n v="0"/>
    <x v="0"/>
    <s v="Tikkanen, Mr. Juho"/>
    <x v="0"/>
    <n v="32"/>
    <n v="0"/>
    <n v="0"/>
    <n v="7.9249999999999998"/>
    <x v="0"/>
  </r>
  <r>
    <n v="1"/>
    <x v="1"/>
    <s v="Holverson, Mrs. Alexander Oskar (Mary Aline Towner)"/>
    <x v="1"/>
    <n v="35"/>
    <n v="1"/>
    <n v="0"/>
    <n v="52"/>
    <x v="0"/>
  </r>
  <r>
    <n v="0"/>
    <x v="0"/>
    <s v="Plotcharsky, Mr. Vasil"/>
    <x v="0"/>
    <m/>
    <n v="0"/>
    <n v="0"/>
    <n v="7.8958000000000004"/>
    <x v="0"/>
  </r>
  <r>
    <n v="0"/>
    <x v="2"/>
    <s v="Davies, Mr. Charles Henry"/>
    <x v="0"/>
    <n v="18"/>
    <n v="0"/>
    <n v="0"/>
    <n v="73.5"/>
    <x v="0"/>
  </r>
  <r>
    <n v="0"/>
    <x v="0"/>
    <s v="Goodwin, Master. Sidney Leonard"/>
    <x v="0"/>
    <n v="1"/>
    <n v="5"/>
    <n v="2"/>
    <n v="46.9"/>
    <x v="0"/>
  </r>
  <r>
    <n v="1"/>
    <x v="2"/>
    <s v="Buss, Miss. Kate"/>
    <x v="1"/>
    <n v="36"/>
    <n v="0"/>
    <n v="0"/>
    <n v="13"/>
    <x v="0"/>
  </r>
  <r>
    <n v="0"/>
    <x v="0"/>
    <s v="Sadlier, Mr. Matthew"/>
    <x v="0"/>
    <m/>
    <n v="0"/>
    <n v="0"/>
    <n v="7.7291999999999996"/>
    <x v="2"/>
  </r>
  <r>
    <n v="1"/>
    <x v="2"/>
    <s v="Lehmann, Miss. Bertha"/>
    <x v="1"/>
    <n v="17"/>
    <n v="0"/>
    <n v="0"/>
    <n v="12"/>
    <x v="1"/>
  </r>
  <r>
    <n v="1"/>
    <x v="1"/>
    <s v="Carter, Mr. William Ernest"/>
    <x v="0"/>
    <n v="36"/>
    <n v="1"/>
    <n v="2"/>
    <n v="120"/>
    <x v="0"/>
  </r>
  <r>
    <n v="1"/>
    <x v="0"/>
    <s v="Jansson, Mr. Carl Olof"/>
    <x v="0"/>
    <n v="21"/>
    <n v="0"/>
    <n v="0"/>
    <n v="7.7957999999999998"/>
    <x v="0"/>
  </r>
  <r>
    <n v="0"/>
    <x v="0"/>
    <s v="Gustafsson, Mr. Johan Birger"/>
    <x v="0"/>
    <n v="28"/>
    <n v="2"/>
    <n v="0"/>
    <n v="7.9249999999999998"/>
    <x v="0"/>
  </r>
  <r>
    <n v="1"/>
    <x v="1"/>
    <s v="Newell, Miss. Marjorie"/>
    <x v="1"/>
    <n v="23"/>
    <n v="1"/>
    <n v="0"/>
    <n v="113.27500000000001"/>
    <x v="1"/>
  </r>
  <r>
    <n v="1"/>
    <x v="0"/>
    <s v="Sandstrom, Mrs. Hjalmar (Agnes Charlotta Bengtsson)"/>
    <x v="1"/>
    <n v="24"/>
    <n v="0"/>
    <n v="2"/>
    <n v="16.7"/>
    <x v="0"/>
  </r>
  <r>
    <n v="0"/>
    <x v="0"/>
    <s v="Johansson, Mr. Erik"/>
    <x v="0"/>
    <n v="22"/>
    <n v="0"/>
    <n v="0"/>
    <n v="7.7957999999999998"/>
    <x v="0"/>
  </r>
  <r>
    <n v="0"/>
    <x v="0"/>
    <s v="Olsson, Miss. Elina"/>
    <x v="1"/>
    <n v="31"/>
    <n v="0"/>
    <n v="0"/>
    <n v="7.8541999999999996"/>
    <x v="0"/>
  </r>
  <r>
    <n v="0"/>
    <x v="2"/>
    <s v="McKane, Mr. Peter David"/>
    <x v="0"/>
    <n v="46"/>
    <n v="0"/>
    <n v="0"/>
    <n v="26"/>
    <x v="0"/>
  </r>
  <r>
    <n v="0"/>
    <x v="2"/>
    <s v="Pain, Dr. Alfred"/>
    <x v="0"/>
    <n v="23"/>
    <n v="0"/>
    <n v="0"/>
    <n v="10.5"/>
    <x v="0"/>
  </r>
  <r>
    <n v="1"/>
    <x v="2"/>
    <s v="Trout, Mrs. William H (Jessie L)"/>
    <x v="1"/>
    <n v="28"/>
    <n v="0"/>
    <n v="0"/>
    <n v="12.65"/>
    <x v="0"/>
  </r>
  <r>
    <n v="1"/>
    <x v="0"/>
    <s v="Niskanen, Mr. Juha"/>
    <x v="0"/>
    <n v="39"/>
    <n v="0"/>
    <n v="0"/>
    <n v="7.9249999999999998"/>
    <x v="0"/>
  </r>
  <r>
    <n v="0"/>
    <x v="0"/>
    <s v="Adams, Mr. John"/>
    <x v="0"/>
    <n v="26"/>
    <n v="0"/>
    <n v="0"/>
    <n v="8.0500000000000007"/>
    <x v="0"/>
  </r>
  <r>
    <n v="0"/>
    <x v="0"/>
    <s v="Jussila, Miss. Mari Aina"/>
    <x v="1"/>
    <n v="21"/>
    <n v="1"/>
    <n v="0"/>
    <n v="9.8249999999999993"/>
    <x v="0"/>
  </r>
  <r>
    <n v="0"/>
    <x v="0"/>
    <s v="Hakkarainen, Mr. Pekka Pietari"/>
    <x v="0"/>
    <n v="28"/>
    <n v="1"/>
    <n v="0"/>
    <n v="15.85"/>
    <x v="0"/>
  </r>
  <r>
    <n v="0"/>
    <x v="0"/>
    <s v="Oreskovic, Miss. Marija"/>
    <x v="1"/>
    <n v="20"/>
    <n v="0"/>
    <n v="0"/>
    <n v="8.6624999999999996"/>
    <x v="0"/>
  </r>
  <r>
    <n v="0"/>
    <x v="2"/>
    <s v="Gale, Mr. Shadrach"/>
    <x v="0"/>
    <n v="34"/>
    <n v="1"/>
    <n v="0"/>
    <n v="21"/>
    <x v="0"/>
  </r>
  <r>
    <n v="0"/>
    <x v="0"/>
    <s v="Widegren, Mr. Carl/Charles Peter"/>
    <x v="0"/>
    <n v="51"/>
    <n v="0"/>
    <n v="0"/>
    <n v="7.75"/>
    <x v="0"/>
  </r>
  <r>
    <n v="1"/>
    <x v="2"/>
    <s v="Richards, Master. William Rowe"/>
    <x v="0"/>
    <n v="3"/>
    <n v="1"/>
    <n v="1"/>
    <n v="18.75"/>
    <x v="0"/>
  </r>
  <r>
    <n v="0"/>
    <x v="0"/>
    <s v="Birkeland, Mr. Hans Martin Monsen"/>
    <x v="0"/>
    <n v="21"/>
    <n v="0"/>
    <n v="0"/>
    <n v="7.7750000000000004"/>
    <x v="0"/>
  </r>
  <r>
    <n v="0"/>
    <x v="0"/>
    <s v="Lefebre, Miss. Ida"/>
    <x v="1"/>
    <m/>
    <n v="3"/>
    <n v="1"/>
    <n v="25.466699999999999"/>
    <x v="0"/>
  </r>
  <r>
    <n v="0"/>
    <x v="0"/>
    <s v="Sdycoff, Mr. Todor"/>
    <x v="0"/>
    <m/>
    <n v="0"/>
    <n v="0"/>
    <n v="7.8958000000000004"/>
    <x v="0"/>
  </r>
  <r>
    <n v="0"/>
    <x v="0"/>
    <s v="Hart, Mr. Henry"/>
    <x v="0"/>
    <m/>
    <n v="0"/>
    <n v="0"/>
    <n v="6.8582999999999998"/>
    <x v="2"/>
  </r>
  <r>
    <n v="1"/>
    <x v="1"/>
    <s v="Minahan, Miss. Daisy E"/>
    <x v="1"/>
    <n v="33"/>
    <n v="1"/>
    <n v="0"/>
    <n v="90"/>
    <x v="2"/>
  </r>
  <r>
    <n v="0"/>
    <x v="2"/>
    <s v="Cunningham, Mr. Alfred Fleming"/>
    <x v="0"/>
    <m/>
    <n v="0"/>
    <n v="0"/>
    <n v="0"/>
    <x v="0"/>
  </r>
  <r>
    <n v="1"/>
    <x v="0"/>
    <s v="Sundman, Mr. Johan Julian"/>
    <x v="0"/>
    <n v="44"/>
    <n v="0"/>
    <n v="0"/>
    <n v="7.9249999999999998"/>
    <x v="0"/>
  </r>
  <r>
    <n v="0"/>
    <x v="0"/>
    <s v="Meek, Mrs. Thomas (Annie Louise Rowley)"/>
    <x v="1"/>
    <m/>
    <n v="0"/>
    <n v="0"/>
    <n v="8.0500000000000007"/>
    <x v="0"/>
  </r>
  <r>
    <n v="1"/>
    <x v="2"/>
    <s v="Drew, Mrs. James Vivian (Lulu Thorne Christian)"/>
    <x v="1"/>
    <n v="34"/>
    <n v="1"/>
    <n v="1"/>
    <n v="32.5"/>
    <x v="0"/>
  </r>
  <r>
    <n v="1"/>
    <x v="2"/>
    <s v="Silven, Miss. Lyyli Karoliina"/>
    <x v="1"/>
    <n v="18"/>
    <n v="0"/>
    <n v="2"/>
    <n v="13"/>
    <x v="0"/>
  </r>
  <r>
    <n v="0"/>
    <x v="2"/>
    <s v="Matthews, Mr. William John"/>
    <x v="0"/>
    <n v="30"/>
    <n v="0"/>
    <n v="0"/>
    <n v="13"/>
    <x v="0"/>
  </r>
  <r>
    <n v="0"/>
    <x v="0"/>
    <s v="Van Impe, Miss. Catharina"/>
    <x v="1"/>
    <n v="10"/>
    <n v="0"/>
    <n v="2"/>
    <n v="24.15"/>
    <x v="0"/>
  </r>
  <r>
    <n v="0"/>
    <x v="0"/>
    <s v="Gheorgheff, Mr. Stanio"/>
    <x v="0"/>
    <m/>
    <n v="0"/>
    <n v="0"/>
    <n v="7.8958000000000004"/>
    <x v="1"/>
  </r>
  <r>
    <n v="0"/>
    <x v="0"/>
    <s v="Charters, Mr. David"/>
    <x v="0"/>
    <n v="21"/>
    <n v="0"/>
    <n v="0"/>
    <n v="7.7332999999999998"/>
    <x v="2"/>
  </r>
  <r>
    <n v="0"/>
    <x v="0"/>
    <s v="Zimmerman, Mr. Leo"/>
    <x v="0"/>
    <n v="29"/>
    <n v="0"/>
    <n v="0"/>
    <n v="7.875"/>
    <x v="0"/>
  </r>
  <r>
    <n v="0"/>
    <x v="0"/>
    <s v="Danbom, Mrs. Ernst Gilbert (Anna Sigrid Maria Brogren)"/>
    <x v="1"/>
    <n v="28"/>
    <n v="1"/>
    <n v="1"/>
    <n v="14.4"/>
    <x v="0"/>
  </r>
  <r>
    <n v="0"/>
    <x v="0"/>
    <s v="Rosblom, Mr. Viktor Richard"/>
    <x v="0"/>
    <n v="18"/>
    <n v="1"/>
    <n v="1"/>
    <n v="20.212499999999999"/>
    <x v="0"/>
  </r>
  <r>
    <n v="0"/>
    <x v="0"/>
    <s v="Wiseman, Mr. Phillippe"/>
    <x v="0"/>
    <m/>
    <n v="0"/>
    <n v="0"/>
    <n v="7.25"/>
    <x v="0"/>
  </r>
  <r>
    <n v="1"/>
    <x v="2"/>
    <s v="Clarke, Mrs. Charles V (Ada Maria Winfield)"/>
    <x v="1"/>
    <n v="28"/>
    <n v="1"/>
    <n v="0"/>
    <n v="26"/>
    <x v="0"/>
  </r>
  <r>
    <n v="1"/>
    <x v="2"/>
    <s v="Phillips, Miss. Kate Florence (&quot;Mrs Kate Louise Phillips Marshall&quot;)"/>
    <x v="1"/>
    <n v="19"/>
    <n v="0"/>
    <n v="0"/>
    <n v="26"/>
    <x v="0"/>
  </r>
  <r>
    <n v="0"/>
    <x v="0"/>
    <s v="Flynn, Mr. James"/>
    <x v="0"/>
    <m/>
    <n v="0"/>
    <n v="0"/>
    <n v="7.75"/>
    <x v="2"/>
  </r>
  <r>
    <n v="1"/>
    <x v="0"/>
    <s v="Pickard, Mr. Berk (Berk Trembisky)"/>
    <x v="0"/>
    <n v="32"/>
    <n v="0"/>
    <n v="0"/>
    <n v="8.0500000000000007"/>
    <x v="0"/>
  </r>
  <r>
    <n v="1"/>
    <x v="1"/>
    <s v="Bjornstrom-Steffansson, Mr. Mauritz Hakan"/>
    <x v="0"/>
    <n v="28"/>
    <n v="0"/>
    <n v="0"/>
    <n v="26.55"/>
    <x v="0"/>
  </r>
  <r>
    <n v="1"/>
    <x v="0"/>
    <s v="Thorneycroft, Mrs. Percival (Florence Kate White)"/>
    <x v="1"/>
    <m/>
    <n v="1"/>
    <n v="0"/>
    <n v="16.100000000000001"/>
    <x v="0"/>
  </r>
  <r>
    <n v="1"/>
    <x v="2"/>
    <s v="Louch, Mrs. Charles Alexander (Alice Adelaide Slow)"/>
    <x v="1"/>
    <n v="42"/>
    <n v="1"/>
    <n v="0"/>
    <n v="26"/>
    <x v="0"/>
  </r>
  <r>
    <n v="0"/>
    <x v="0"/>
    <s v="Kallio, Mr. Nikolai Erland"/>
    <x v="0"/>
    <n v="17"/>
    <n v="0"/>
    <n v="0"/>
    <n v="7.125"/>
    <x v="0"/>
  </r>
  <r>
    <n v="0"/>
    <x v="1"/>
    <s v="Silvey, Mr. William Baird"/>
    <x v="0"/>
    <n v="50"/>
    <n v="1"/>
    <n v="0"/>
    <n v="55.9"/>
    <x v="0"/>
  </r>
  <r>
    <n v="1"/>
    <x v="1"/>
    <s v="Carter, Miss. Lucile Polk"/>
    <x v="1"/>
    <n v="14"/>
    <n v="1"/>
    <n v="2"/>
    <n v="120"/>
    <x v="0"/>
  </r>
  <r>
    <n v="0"/>
    <x v="0"/>
    <s v="Ford, Miss. Doolina Margaret &quot;Daisy&quot;"/>
    <x v="1"/>
    <n v="21"/>
    <n v="2"/>
    <n v="2"/>
    <n v="34.375"/>
    <x v="0"/>
  </r>
  <r>
    <n v="1"/>
    <x v="2"/>
    <s v="Richards, Mrs. Sidney (Emily Hocking)"/>
    <x v="1"/>
    <n v="24"/>
    <n v="2"/>
    <n v="3"/>
    <n v="18.75"/>
    <x v="0"/>
  </r>
  <r>
    <n v="0"/>
    <x v="1"/>
    <s v="Fortune, Mr. Mark"/>
    <x v="0"/>
    <n v="64"/>
    <n v="1"/>
    <n v="4"/>
    <n v="263"/>
    <x v="0"/>
  </r>
  <r>
    <n v="0"/>
    <x v="2"/>
    <s v="Kvillner, Mr. Johan Henrik Johannesson"/>
    <x v="0"/>
    <n v="31"/>
    <n v="0"/>
    <n v="0"/>
    <n v="10.5"/>
    <x v="0"/>
  </r>
  <r>
    <n v="1"/>
    <x v="2"/>
    <s v="Hart, Mrs. Benjamin (Esther Ada Bloomfield)"/>
    <x v="1"/>
    <n v="45"/>
    <n v="1"/>
    <n v="1"/>
    <n v="26.25"/>
    <x v="0"/>
  </r>
  <r>
    <n v="0"/>
    <x v="0"/>
    <s v="Hampe, Mr. Leon"/>
    <x v="0"/>
    <n v="20"/>
    <n v="0"/>
    <n v="0"/>
    <n v="9.5"/>
    <x v="0"/>
  </r>
  <r>
    <n v="0"/>
    <x v="0"/>
    <s v="Petterson, Mr. Johan Emil"/>
    <x v="0"/>
    <n v="25"/>
    <n v="1"/>
    <n v="0"/>
    <n v="7.7750000000000004"/>
    <x v="0"/>
  </r>
  <r>
    <n v="1"/>
    <x v="2"/>
    <s v="Reynaldo, Ms. Encarnacion"/>
    <x v="1"/>
    <n v="28"/>
    <n v="0"/>
    <n v="0"/>
    <n v="13"/>
    <x v="0"/>
  </r>
  <r>
    <n v="1"/>
    <x v="0"/>
    <s v="Johannesen-Bratthammer, Mr. Bernt"/>
    <x v="0"/>
    <m/>
    <n v="0"/>
    <n v="0"/>
    <n v="8.1125000000000007"/>
    <x v="0"/>
  </r>
  <r>
    <n v="1"/>
    <x v="1"/>
    <s v="Dodge, Master. Washington"/>
    <x v="0"/>
    <n v="4"/>
    <n v="0"/>
    <n v="2"/>
    <n v="81.8583"/>
    <x v="0"/>
  </r>
  <r>
    <n v="1"/>
    <x v="2"/>
    <s v="Mellinger, Miss. Madeleine Violet"/>
    <x v="1"/>
    <n v="13"/>
    <n v="0"/>
    <n v="1"/>
    <n v="19.5"/>
    <x v="0"/>
  </r>
  <r>
    <n v="1"/>
    <x v="1"/>
    <s v="Seward, Mr. Frederic Kimber"/>
    <x v="0"/>
    <n v="34"/>
    <n v="0"/>
    <n v="0"/>
    <n v="26.55"/>
    <x v="0"/>
  </r>
  <r>
    <n v="1"/>
    <x v="0"/>
    <s v="Baclini, Miss. Marie Catherine"/>
    <x v="1"/>
    <n v="5"/>
    <n v="2"/>
    <n v="1"/>
    <n v="19.258299999999998"/>
    <x v="1"/>
  </r>
  <r>
    <n v="1"/>
    <x v="1"/>
    <s v="Peuchen, Major. Arthur Godfrey"/>
    <x v="0"/>
    <n v="52"/>
    <n v="0"/>
    <n v="0"/>
    <n v="30.5"/>
    <x v="0"/>
  </r>
  <r>
    <n v="0"/>
    <x v="2"/>
    <s v="West, Mr. Edwy Arthur"/>
    <x v="0"/>
    <n v="36"/>
    <n v="1"/>
    <n v="2"/>
    <n v="27.75"/>
    <x v="0"/>
  </r>
  <r>
    <n v="0"/>
    <x v="0"/>
    <s v="Hagland, Mr. Ingvald Olai Olsen"/>
    <x v="0"/>
    <m/>
    <n v="1"/>
    <n v="0"/>
    <n v="19.966699999999999"/>
    <x v="0"/>
  </r>
  <r>
    <n v="0"/>
    <x v="1"/>
    <s v="Foreman, Mr. Benjamin Laventall"/>
    <x v="0"/>
    <n v="30"/>
    <n v="0"/>
    <n v="0"/>
    <n v="27.75"/>
    <x v="1"/>
  </r>
  <r>
    <n v="1"/>
    <x v="1"/>
    <s v="Goldenberg, Mr. Samuel L"/>
    <x v="0"/>
    <n v="49"/>
    <n v="1"/>
    <n v="0"/>
    <n v="89.104200000000006"/>
    <x v="1"/>
  </r>
  <r>
    <n v="0"/>
    <x v="0"/>
    <s v="Peduzzi, Mr. Joseph"/>
    <x v="0"/>
    <m/>
    <n v="0"/>
    <n v="0"/>
    <n v="8.0500000000000007"/>
    <x v="0"/>
  </r>
  <r>
    <n v="1"/>
    <x v="0"/>
    <s v="Jalsevac, Mr. Ivan"/>
    <x v="0"/>
    <n v="29"/>
    <n v="0"/>
    <n v="0"/>
    <n v="7.8958000000000004"/>
    <x v="1"/>
  </r>
  <r>
    <n v="0"/>
    <x v="1"/>
    <s v="Millet, Mr. Francis Davis"/>
    <x v="0"/>
    <n v="65"/>
    <n v="0"/>
    <n v="0"/>
    <n v="26.55"/>
    <x v="0"/>
  </r>
  <r>
    <n v="1"/>
    <x v="1"/>
    <s v="Kenyon, Mrs. Frederick R (Marion)"/>
    <x v="1"/>
    <m/>
    <n v="1"/>
    <n v="0"/>
    <n v="51.862499999999997"/>
    <x v="0"/>
  </r>
  <r>
    <n v="1"/>
    <x v="2"/>
    <s v="Toomey, Miss. Ellen"/>
    <x v="1"/>
    <n v="50"/>
    <n v="0"/>
    <n v="0"/>
    <n v="10.5"/>
    <x v="0"/>
  </r>
  <r>
    <n v="0"/>
    <x v="0"/>
    <s v="O'Connor, Mr. Maurice"/>
    <x v="0"/>
    <m/>
    <n v="0"/>
    <n v="0"/>
    <n v="7.75"/>
    <x v="2"/>
  </r>
  <r>
    <n v="1"/>
    <x v="1"/>
    <s v="Anderson, Mr. Harry"/>
    <x v="0"/>
    <n v="48"/>
    <n v="0"/>
    <n v="0"/>
    <n v="26.55"/>
    <x v="0"/>
  </r>
  <r>
    <n v="0"/>
    <x v="0"/>
    <s v="Morley, Mr. William"/>
    <x v="0"/>
    <n v="34"/>
    <n v="0"/>
    <n v="0"/>
    <n v="8.0500000000000007"/>
    <x v="0"/>
  </r>
  <r>
    <n v="0"/>
    <x v="1"/>
    <s v="Gee, Mr. Arthur H"/>
    <x v="0"/>
    <n v="47"/>
    <n v="0"/>
    <n v="0"/>
    <n v="38.5"/>
    <x v="0"/>
  </r>
  <r>
    <n v="0"/>
    <x v="2"/>
    <s v="Milling, Mr. Jacob Christian"/>
    <x v="0"/>
    <n v="48"/>
    <n v="0"/>
    <n v="0"/>
    <n v="13"/>
    <x v="0"/>
  </r>
  <r>
    <n v="0"/>
    <x v="0"/>
    <s v="Maisner, Mr. Simon"/>
    <x v="0"/>
    <m/>
    <n v="0"/>
    <n v="0"/>
    <n v="8.0500000000000007"/>
    <x v="0"/>
  </r>
  <r>
    <n v="0"/>
    <x v="0"/>
    <s v="Goncalves, Mr. Manuel Estanslas"/>
    <x v="0"/>
    <n v="38"/>
    <n v="0"/>
    <n v="0"/>
    <n v="7.05"/>
    <x v="0"/>
  </r>
  <r>
    <n v="0"/>
    <x v="2"/>
    <s v="Campbell, Mr. William"/>
    <x v="0"/>
    <m/>
    <n v="0"/>
    <n v="0"/>
    <n v="0"/>
    <x v="0"/>
  </r>
  <r>
    <n v="0"/>
    <x v="1"/>
    <s v="Smart, Mr. John Montgomery"/>
    <x v="0"/>
    <n v="56"/>
    <n v="0"/>
    <n v="0"/>
    <n v="26.55"/>
    <x v="0"/>
  </r>
  <r>
    <n v="0"/>
    <x v="0"/>
    <s v="Scanlan, Mr. James"/>
    <x v="0"/>
    <m/>
    <n v="0"/>
    <n v="0"/>
    <n v="7.7249999999999996"/>
    <x v="2"/>
  </r>
  <r>
    <n v="1"/>
    <x v="0"/>
    <s v="Baclini, Miss. Helene Barbara"/>
    <x v="1"/>
    <n v="0.75"/>
    <n v="2"/>
    <n v="1"/>
    <n v="19.258299999999998"/>
    <x v="1"/>
  </r>
  <r>
    <n v="0"/>
    <x v="0"/>
    <s v="Keefe, Mr. Arthur"/>
    <x v="0"/>
    <m/>
    <n v="0"/>
    <n v="0"/>
    <n v="7.25"/>
    <x v="0"/>
  </r>
  <r>
    <n v="0"/>
    <x v="0"/>
    <s v="Cacic, Mr. Luka"/>
    <x v="0"/>
    <n v="38"/>
    <n v="0"/>
    <n v="0"/>
    <n v="8.6624999999999996"/>
    <x v="0"/>
  </r>
  <r>
    <n v="1"/>
    <x v="2"/>
    <s v="West, Mrs. Edwy Arthur (Ada Mary Worth)"/>
    <x v="1"/>
    <n v="33"/>
    <n v="1"/>
    <n v="2"/>
    <n v="27.75"/>
    <x v="0"/>
  </r>
  <r>
    <n v="1"/>
    <x v="2"/>
    <s v="Jerwan, Mrs. Amin S (Marie Marthe Thuillard)"/>
    <x v="1"/>
    <n v="23"/>
    <n v="0"/>
    <n v="0"/>
    <n v="13.791700000000001"/>
    <x v="1"/>
  </r>
  <r>
    <n v="0"/>
    <x v="0"/>
    <s v="Strandberg, Miss. Ida Sofia"/>
    <x v="1"/>
    <n v="22"/>
    <n v="0"/>
    <n v="0"/>
    <n v="9.8375000000000004"/>
    <x v="0"/>
  </r>
  <r>
    <n v="0"/>
    <x v="1"/>
    <s v="Clifford, Mr. George Quincy"/>
    <x v="0"/>
    <m/>
    <n v="0"/>
    <n v="0"/>
    <n v="52"/>
    <x v="0"/>
  </r>
  <r>
    <n v="0"/>
    <x v="2"/>
    <s v="Renouf, Mr. Peter Henry"/>
    <x v="0"/>
    <n v="34"/>
    <n v="1"/>
    <n v="0"/>
    <n v="21"/>
    <x v="0"/>
  </r>
  <r>
    <n v="0"/>
    <x v="0"/>
    <s v="Braund, Mr. Lewis Richard"/>
    <x v="0"/>
    <n v="29"/>
    <n v="1"/>
    <n v="0"/>
    <n v="7.0457999999999998"/>
    <x v="0"/>
  </r>
  <r>
    <n v="0"/>
    <x v="0"/>
    <s v="Karlsson, Mr. Nils August"/>
    <x v="0"/>
    <n v="22"/>
    <n v="0"/>
    <n v="0"/>
    <n v="7.5208000000000004"/>
    <x v="0"/>
  </r>
  <r>
    <n v="1"/>
    <x v="0"/>
    <s v="Hirvonen, Miss. Hildur E"/>
    <x v="1"/>
    <n v="2"/>
    <n v="0"/>
    <n v="1"/>
    <n v="12.2875"/>
    <x v="0"/>
  </r>
  <r>
    <n v="0"/>
    <x v="0"/>
    <s v="Goodwin, Master. Harold Victor"/>
    <x v="0"/>
    <n v="9"/>
    <n v="5"/>
    <n v="2"/>
    <n v="46.9"/>
    <x v="0"/>
  </r>
  <r>
    <n v="0"/>
    <x v="2"/>
    <s v="Frost, Mr. Anthony Wood &quot;Archie&quot;"/>
    <x v="0"/>
    <m/>
    <n v="0"/>
    <n v="0"/>
    <n v="0"/>
    <x v="0"/>
  </r>
  <r>
    <n v="0"/>
    <x v="0"/>
    <s v="Rouse, Mr. Richard Henry"/>
    <x v="0"/>
    <n v="50"/>
    <n v="0"/>
    <n v="0"/>
    <n v="8.0500000000000007"/>
    <x v="0"/>
  </r>
  <r>
    <n v="1"/>
    <x v="0"/>
    <s v="Turkula, Mrs. (Hedwig)"/>
    <x v="1"/>
    <n v="63"/>
    <n v="0"/>
    <n v="0"/>
    <n v="9.5875000000000004"/>
    <x v="0"/>
  </r>
  <r>
    <n v="1"/>
    <x v="1"/>
    <s v="Bishop, Mr. Dickinson H"/>
    <x v="0"/>
    <n v="25"/>
    <n v="1"/>
    <n v="0"/>
    <n v="91.0792"/>
    <x v="1"/>
  </r>
  <r>
    <n v="0"/>
    <x v="0"/>
    <s v="Lefebre, Miss. Jeannie"/>
    <x v="1"/>
    <m/>
    <n v="3"/>
    <n v="1"/>
    <n v="25.466699999999999"/>
    <x v="0"/>
  </r>
  <r>
    <n v="1"/>
    <x v="1"/>
    <s v="Hoyt, Mrs. Frederick Maxfield (Jane Anne Forby)"/>
    <x v="1"/>
    <n v="35"/>
    <n v="1"/>
    <n v="0"/>
    <n v="90"/>
    <x v="0"/>
  </r>
  <r>
    <n v="0"/>
    <x v="1"/>
    <s v="Kent, Mr. Edward Austin"/>
    <x v="0"/>
    <n v="58"/>
    <n v="0"/>
    <n v="0"/>
    <n v="29.7"/>
    <x v="1"/>
  </r>
  <r>
    <n v="0"/>
    <x v="0"/>
    <s v="Somerton, Mr. Francis William"/>
    <x v="0"/>
    <n v="30"/>
    <n v="0"/>
    <n v="0"/>
    <n v="8.0500000000000007"/>
    <x v="0"/>
  </r>
  <r>
    <n v="1"/>
    <x v="0"/>
    <s v="Coutts, Master. Eden Leslie &quot;Neville&quot;"/>
    <x v="0"/>
    <n v="9"/>
    <n v="1"/>
    <n v="1"/>
    <n v="15.9"/>
    <x v="0"/>
  </r>
  <r>
    <n v="0"/>
    <x v="0"/>
    <s v="Hagland, Mr. Konrad Mathias Reiersen"/>
    <x v="0"/>
    <m/>
    <n v="1"/>
    <n v="0"/>
    <n v="19.966699999999999"/>
    <x v="0"/>
  </r>
  <r>
    <n v="0"/>
    <x v="0"/>
    <s v="Windelov, Mr. Einar"/>
    <x v="0"/>
    <n v="21"/>
    <n v="0"/>
    <n v="0"/>
    <n v="7.25"/>
    <x v="0"/>
  </r>
  <r>
    <n v="0"/>
    <x v="1"/>
    <s v="Molson, Mr. Harry Markland"/>
    <x v="0"/>
    <n v="55"/>
    <n v="0"/>
    <n v="0"/>
    <n v="30.5"/>
    <x v="0"/>
  </r>
  <r>
    <n v="0"/>
    <x v="1"/>
    <s v="Artagaveytia, Mr. Ramon"/>
    <x v="0"/>
    <n v="71"/>
    <n v="0"/>
    <n v="0"/>
    <n v="49.504199999999997"/>
    <x v="1"/>
  </r>
  <r>
    <n v="0"/>
    <x v="0"/>
    <s v="Stanley, Mr. Edward Roland"/>
    <x v="0"/>
    <n v="21"/>
    <n v="0"/>
    <n v="0"/>
    <n v="8.0500000000000007"/>
    <x v="0"/>
  </r>
  <r>
    <n v="0"/>
    <x v="0"/>
    <s v="Yousseff, Mr. Gerious"/>
    <x v="0"/>
    <m/>
    <n v="0"/>
    <n v="0"/>
    <n v="14.458299999999999"/>
    <x v="1"/>
  </r>
  <r>
    <n v="1"/>
    <x v="1"/>
    <s v="Eustis, Miss. Elizabeth Mussey"/>
    <x v="1"/>
    <n v="54"/>
    <n v="1"/>
    <n v="0"/>
    <n v="78.2667"/>
    <x v="1"/>
  </r>
  <r>
    <n v="0"/>
    <x v="0"/>
    <s v="Shellard, Mr. Frederick William"/>
    <x v="0"/>
    <m/>
    <n v="0"/>
    <n v="0"/>
    <n v="15.1"/>
    <x v="0"/>
  </r>
  <r>
    <n v="0"/>
    <x v="1"/>
    <s v="Allison, Mrs. Hudson J C (Bessie Waldo Daniels)"/>
    <x v="1"/>
    <n v="25"/>
    <n v="1"/>
    <n v="2"/>
    <n v="151.55000000000001"/>
    <x v="0"/>
  </r>
  <r>
    <n v="0"/>
    <x v="0"/>
    <s v="Svensson, Mr. Olof"/>
    <x v="0"/>
    <n v="24"/>
    <n v="0"/>
    <n v="0"/>
    <n v="7.7957999999999998"/>
    <x v="0"/>
  </r>
  <r>
    <n v="0"/>
    <x v="0"/>
    <s v="Calic, Mr. Petar"/>
    <x v="0"/>
    <n v="17"/>
    <n v="0"/>
    <n v="0"/>
    <n v="8.6624999999999996"/>
    <x v="0"/>
  </r>
  <r>
    <n v="0"/>
    <x v="0"/>
    <s v="Canavan, Miss. Mary"/>
    <x v="1"/>
    <n v="21"/>
    <n v="0"/>
    <n v="0"/>
    <n v="7.75"/>
    <x v="2"/>
  </r>
  <r>
    <n v="0"/>
    <x v="0"/>
    <s v="O'Sullivan, Miss. Bridget Mary"/>
    <x v="1"/>
    <m/>
    <n v="0"/>
    <n v="0"/>
    <n v="7.6292"/>
    <x v="2"/>
  </r>
  <r>
    <n v="0"/>
    <x v="0"/>
    <s v="Laitinen, Miss. Kristina Sofia"/>
    <x v="1"/>
    <n v="37"/>
    <n v="0"/>
    <n v="0"/>
    <n v="9.5875000000000004"/>
    <x v="0"/>
  </r>
  <r>
    <n v="1"/>
    <x v="1"/>
    <s v="Maioni, Miss. Roberta"/>
    <x v="1"/>
    <n v="16"/>
    <n v="0"/>
    <n v="0"/>
    <n v="86.5"/>
    <x v="0"/>
  </r>
  <r>
    <n v="0"/>
    <x v="1"/>
    <s v="Penasco y Castellana, Mr. Victor de Satode"/>
    <x v="0"/>
    <n v="18"/>
    <n v="1"/>
    <n v="0"/>
    <n v="108.9"/>
    <x v="1"/>
  </r>
  <r>
    <n v="1"/>
    <x v="2"/>
    <s v="Quick, Mrs. Frederick Charles (Jane Richards)"/>
    <x v="1"/>
    <n v="33"/>
    <n v="0"/>
    <n v="2"/>
    <n v="26"/>
    <x v="0"/>
  </r>
  <r>
    <n v="1"/>
    <x v="1"/>
    <s v="Bradley, Mr. George (&quot;George Arthur Brayton&quot;)"/>
    <x v="0"/>
    <m/>
    <n v="0"/>
    <n v="0"/>
    <n v="26.55"/>
    <x v="0"/>
  </r>
  <r>
    <n v="0"/>
    <x v="0"/>
    <s v="Olsen, Mr. Henry Margido"/>
    <x v="0"/>
    <n v="28"/>
    <n v="0"/>
    <n v="0"/>
    <n v="22.524999999999999"/>
    <x v="0"/>
  </r>
  <r>
    <n v="1"/>
    <x v="0"/>
    <s v="Lang, Mr. Fang"/>
    <x v="0"/>
    <n v="26"/>
    <n v="0"/>
    <n v="0"/>
    <n v="56.495800000000003"/>
    <x v="0"/>
  </r>
  <r>
    <n v="1"/>
    <x v="0"/>
    <s v="Daly, Mr. Eugene Patrick"/>
    <x v="0"/>
    <n v="29"/>
    <n v="0"/>
    <n v="0"/>
    <n v="7.75"/>
    <x v="2"/>
  </r>
  <r>
    <n v="0"/>
    <x v="0"/>
    <s v="Webber, Mr. James"/>
    <x v="0"/>
    <m/>
    <n v="0"/>
    <n v="0"/>
    <n v="8.0500000000000007"/>
    <x v="0"/>
  </r>
  <r>
    <n v="1"/>
    <x v="1"/>
    <s v="McGough, Mr. James Robert"/>
    <x v="0"/>
    <n v="36"/>
    <n v="0"/>
    <n v="0"/>
    <n v="26.287500000000001"/>
    <x v="0"/>
  </r>
  <r>
    <n v="1"/>
    <x v="1"/>
    <s v="Rothschild, Mrs. Martin (Elizabeth L. Barrett)"/>
    <x v="1"/>
    <n v="54"/>
    <n v="1"/>
    <n v="0"/>
    <n v="59.4"/>
    <x v="1"/>
  </r>
  <r>
    <n v="0"/>
    <x v="0"/>
    <s v="Coleff, Mr. Satio"/>
    <x v="0"/>
    <n v="24"/>
    <n v="0"/>
    <n v="0"/>
    <n v="7.4958"/>
    <x v="0"/>
  </r>
  <r>
    <n v="0"/>
    <x v="1"/>
    <s v="Walker, Mr. William Anderson"/>
    <x v="0"/>
    <n v="47"/>
    <n v="0"/>
    <n v="0"/>
    <n v="34.020800000000001"/>
    <x v="0"/>
  </r>
  <r>
    <n v="1"/>
    <x v="2"/>
    <s v="Lemore, Mrs. (Amelia Milley)"/>
    <x v="1"/>
    <n v="34"/>
    <n v="0"/>
    <n v="0"/>
    <n v="10.5"/>
    <x v="0"/>
  </r>
  <r>
    <n v="0"/>
    <x v="0"/>
    <s v="Ryan, Mr. Patrick"/>
    <x v="0"/>
    <m/>
    <n v="0"/>
    <n v="0"/>
    <n v="24.15"/>
    <x v="2"/>
  </r>
  <r>
    <n v="1"/>
    <x v="2"/>
    <s v="Angle, Mrs. William A (Florence &quot;Mary&quot; Agnes Hughes)"/>
    <x v="1"/>
    <n v="36"/>
    <n v="1"/>
    <n v="0"/>
    <n v="26"/>
    <x v="0"/>
  </r>
  <r>
    <n v="0"/>
    <x v="0"/>
    <s v="Pavlovic, Mr. Stefo"/>
    <x v="0"/>
    <n v="32"/>
    <n v="0"/>
    <n v="0"/>
    <n v="7.8958000000000004"/>
    <x v="0"/>
  </r>
  <r>
    <n v="1"/>
    <x v="1"/>
    <s v="Perreault, Miss. Anne"/>
    <x v="1"/>
    <n v="30"/>
    <n v="0"/>
    <n v="0"/>
    <n v="93.5"/>
    <x v="0"/>
  </r>
  <r>
    <n v="0"/>
    <x v="0"/>
    <s v="Vovk, Mr. Janko"/>
    <x v="0"/>
    <n v="22"/>
    <n v="0"/>
    <n v="0"/>
    <n v="7.8958000000000004"/>
    <x v="0"/>
  </r>
  <r>
    <n v="0"/>
    <x v="0"/>
    <s v="Lahoud, Mr. Sarkis"/>
    <x v="0"/>
    <m/>
    <n v="0"/>
    <n v="0"/>
    <n v="7.2249999999999996"/>
    <x v="1"/>
  </r>
  <r>
    <n v="1"/>
    <x v="1"/>
    <s v="Hippach, Mrs. Louis Albert (Ida Sophia Fischer)"/>
    <x v="1"/>
    <n v="44"/>
    <n v="0"/>
    <n v="1"/>
    <n v="57.979199999999999"/>
    <x v="1"/>
  </r>
  <r>
    <n v="0"/>
    <x v="0"/>
    <s v="Kassem, Mr. Fared"/>
    <x v="0"/>
    <m/>
    <n v="0"/>
    <n v="0"/>
    <n v="7.2291999999999996"/>
    <x v="1"/>
  </r>
  <r>
    <n v="0"/>
    <x v="0"/>
    <s v="Farrell, Mr. James"/>
    <x v="0"/>
    <n v="40.5"/>
    <n v="0"/>
    <n v="0"/>
    <n v="7.75"/>
    <x v="2"/>
  </r>
  <r>
    <n v="1"/>
    <x v="2"/>
    <s v="Ridsdale, Miss. Lucy"/>
    <x v="1"/>
    <n v="50"/>
    <n v="0"/>
    <n v="0"/>
    <n v="10.5"/>
    <x v="0"/>
  </r>
  <r>
    <n v="0"/>
    <x v="1"/>
    <s v="Farthing, Mr. John"/>
    <x v="0"/>
    <m/>
    <n v="0"/>
    <n v="0"/>
    <n v="221.7792"/>
    <x v="0"/>
  </r>
  <r>
    <n v="0"/>
    <x v="0"/>
    <s v="Salonen, Mr. Johan Werner"/>
    <x v="0"/>
    <n v="39"/>
    <n v="0"/>
    <n v="0"/>
    <n v="7.9249999999999998"/>
    <x v="0"/>
  </r>
  <r>
    <n v="0"/>
    <x v="2"/>
    <s v="Hocking, Mr. Richard George"/>
    <x v="0"/>
    <n v="23"/>
    <n v="2"/>
    <n v="1"/>
    <n v="11.5"/>
    <x v="0"/>
  </r>
  <r>
    <n v="1"/>
    <x v="2"/>
    <s v="Quick, Miss. Phyllis May"/>
    <x v="1"/>
    <n v="2"/>
    <n v="1"/>
    <n v="1"/>
    <n v="26"/>
    <x v="0"/>
  </r>
  <r>
    <n v="0"/>
    <x v="0"/>
    <s v="Toufik, Mr. Nakli"/>
    <x v="0"/>
    <m/>
    <n v="0"/>
    <n v="0"/>
    <n v="7.2291999999999996"/>
    <x v="1"/>
  </r>
  <r>
    <n v="0"/>
    <x v="0"/>
    <s v="Elias, Mr. Joseph Jr"/>
    <x v="0"/>
    <n v="17"/>
    <n v="1"/>
    <n v="1"/>
    <n v="7.2291999999999996"/>
    <x v="1"/>
  </r>
  <r>
    <n v="1"/>
    <x v="0"/>
    <s v="Peter, Mrs. Catherine (Catherine Rizk)"/>
    <x v="1"/>
    <m/>
    <n v="0"/>
    <n v="2"/>
    <n v="22.3583"/>
    <x v="1"/>
  </r>
  <r>
    <n v="0"/>
    <x v="0"/>
    <s v="Cacic, Miss. Marija"/>
    <x v="1"/>
    <n v="30"/>
    <n v="0"/>
    <n v="0"/>
    <n v="8.6624999999999996"/>
    <x v="0"/>
  </r>
  <r>
    <n v="1"/>
    <x v="2"/>
    <s v="Hart, Miss. Eva Miriam"/>
    <x v="1"/>
    <n v="7"/>
    <n v="0"/>
    <n v="2"/>
    <n v="26.25"/>
    <x v="0"/>
  </r>
  <r>
    <n v="0"/>
    <x v="1"/>
    <s v="Butt, Major. Archibald Willingham"/>
    <x v="0"/>
    <n v="45"/>
    <n v="0"/>
    <n v="0"/>
    <n v="26.55"/>
    <x v="0"/>
  </r>
  <r>
    <n v="1"/>
    <x v="1"/>
    <s v="LeRoy, Miss. Bertha"/>
    <x v="1"/>
    <n v="30"/>
    <n v="0"/>
    <n v="0"/>
    <n v="106.425"/>
    <x v="1"/>
  </r>
  <r>
    <n v="0"/>
    <x v="0"/>
    <s v="Risien, Mr. Samuel Beard"/>
    <x v="0"/>
    <m/>
    <n v="0"/>
    <n v="0"/>
    <n v="14.5"/>
    <x v="0"/>
  </r>
  <r>
    <n v="1"/>
    <x v="1"/>
    <s v="Frolicher, Miss. Hedwig Margaritha"/>
    <x v="1"/>
    <n v="22"/>
    <n v="0"/>
    <n v="2"/>
    <n v="49.5"/>
    <x v="1"/>
  </r>
  <r>
    <n v="1"/>
    <x v="1"/>
    <s v="Crosby, Miss. Harriet R"/>
    <x v="1"/>
    <n v="36"/>
    <n v="0"/>
    <n v="2"/>
    <n v="71"/>
    <x v="0"/>
  </r>
  <r>
    <n v="0"/>
    <x v="0"/>
    <s v="Andersson, Miss. Ingeborg Constanzia"/>
    <x v="1"/>
    <n v="9"/>
    <n v="4"/>
    <n v="2"/>
    <n v="31.274999999999999"/>
    <x v="0"/>
  </r>
  <r>
    <n v="0"/>
    <x v="0"/>
    <s v="Andersson, Miss. Sigrid Elisabeth"/>
    <x v="1"/>
    <n v="11"/>
    <n v="4"/>
    <n v="2"/>
    <n v="31.274999999999999"/>
    <x v="0"/>
  </r>
  <r>
    <n v="1"/>
    <x v="2"/>
    <s v="Beane, Mr. Edward"/>
    <x v="0"/>
    <n v="32"/>
    <n v="1"/>
    <n v="0"/>
    <n v="26"/>
    <x v="0"/>
  </r>
  <r>
    <n v="0"/>
    <x v="1"/>
    <s v="Douglas, Mr. Walter Donald"/>
    <x v="0"/>
    <n v="50"/>
    <n v="1"/>
    <n v="0"/>
    <n v="106.425"/>
    <x v="1"/>
  </r>
  <r>
    <n v="0"/>
    <x v="1"/>
    <s v="Nicholson, Mr. Arthur Ernest"/>
    <x v="0"/>
    <n v="64"/>
    <n v="0"/>
    <n v="0"/>
    <n v="26"/>
    <x v="0"/>
  </r>
  <r>
    <n v="1"/>
    <x v="2"/>
    <s v="Beane, Mrs. Edward (Ethel Clarke)"/>
    <x v="1"/>
    <n v="19"/>
    <n v="1"/>
    <n v="0"/>
    <n v="26"/>
    <x v="0"/>
  </r>
  <r>
    <n v="1"/>
    <x v="2"/>
    <s v="Padro y Manent, Mr. Julian"/>
    <x v="0"/>
    <m/>
    <n v="0"/>
    <n v="0"/>
    <n v="13.862500000000001"/>
    <x v="1"/>
  </r>
  <r>
    <n v="0"/>
    <x v="0"/>
    <s v="Goldsmith, Mr. Frank John"/>
    <x v="0"/>
    <n v="33"/>
    <n v="1"/>
    <n v="1"/>
    <n v="20.524999999999999"/>
    <x v="0"/>
  </r>
  <r>
    <n v="1"/>
    <x v="2"/>
    <s v="Davies, Master. John Morgan Jr"/>
    <x v="0"/>
    <n v="8"/>
    <n v="1"/>
    <n v="1"/>
    <n v="36.75"/>
    <x v="0"/>
  </r>
  <r>
    <n v="1"/>
    <x v="1"/>
    <s v="Thayer, Mr. John Borland Jr"/>
    <x v="0"/>
    <n v="17"/>
    <n v="0"/>
    <n v="2"/>
    <n v="110.88330000000001"/>
    <x v="1"/>
  </r>
  <r>
    <n v="0"/>
    <x v="2"/>
    <s v="Sharp, Mr. Percival James R"/>
    <x v="0"/>
    <n v="27"/>
    <n v="0"/>
    <n v="0"/>
    <n v="26"/>
    <x v="0"/>
  </r>
  <r>
    <n v="0"/>
    <x v="0"/>
    <s v="O'Brien, Mr. Timothy"/>
    <x v="0"/>
    <m/>
    <n v="0"/>
    <n v="0"/>
    <n v="7.8292000000000002"/>
    <x v="2"/>
  </r>
  <r>
    <n v="1"/>
    <x v="0"/>
    <s v="Leeni, Mr. Fahim (&quot;Philip Zenni&quot;)"/>
    <x v="0"/>
    <n v="22"/>
    <n v="0"/>
    <n v="0"/>
    <n v="7.2249999999999996"/>
    <x v="1"/>
  </r>
  <r>
    <n v="1"/>
    <x v="0"/>
    <s v="Ohman, Miss. Velin"/>
    <x v="1"/>
    <n v="22"/>
    <n v="0"/>
    <n v="0"/>
    <n v="7.7750000000000004"/>
    <x v="0"/>
  </r>
  <r>
    <n v="0"/>
    <x v="1"/>
    <s v="Wright, Mr. George"/>
    <x v="0"/>
    <n v="62"/>
    <n v="0"/>
    <n v="0"/>
    <n v="26.55"/>
    <x v="0"/>
  </r>
  <r>
    <n v="1"/>
    <x v="1"/>
    <s v="Duff Gordon, Lady. (Lucille Christiana Sutherland) (&quot;Mrs Morgan&quot;)"/>
    <x v="1"/>
    <n v="48"/>
    <n v="1"/>
    <n v="0"/>
    <n v="39.6"/>
    <x v="1"/>
  </r>
  <r>
    <n v="0"/>
    <x v="1"/>
    <s v="Robbins, Mr. Victor"/>
    <x v="0"/>
    <m/>
    <n v="0"/>
    <n v="0"/>
    <n v="227.52500000000001"/>
    <x v="1"/>
  </r>
  <r>
    <n v="1"/>
    <x v="1"/>
    <s v="Taussig, Mrs. Emil (Tillie Mandelbaum)"/>
    <x v="1"/>
    <n v="39"/>
    <n v="1"/>
    <n v="1"/>
    <n v="79.650000000000006"/>
    <x v="0"/>
  </r>
  <r>
    <n v="1"/>
    <x v="0"/>
    <s v="de Messemaeker, Mrs. Guillaume Joseph (Emma)"/>
    <x v="1"/>
    <n v="36"/>
    <n v="1"/>
    <n v="0"/>
    <n v="17.399999999999999"/>
    <x v="0"/>
  </r>
  <r>
    <n v="0"/>
    <x v="0"/>
    <s v="Morrow, Mr. Thomas Rowan"/>
    <x v="0"/>
    <m/>
    <n v="0"/>
    <n v="0"/>
    <n v="7.75"/>
    <x v="2"/>
  </r>
  <r>
    <n v="0"/>
    <x v="0"/>
    <s v="Sivic, Mr. Husein"/>
    <x v="0"/>
    <n v="40"/>
    <n v="0"/>
    <n v="0"/>
    <n v="7.8958000000000004"/>
    <x v="0"/>
  </r>
  <r>
    <n v="0"/>
    <x v="2"/>
    <s v="Norman, Mr. Robert Douglas"/>
    <x v="0"/>
    <n v="28"/>
    <n v="0"/>
    <n v="0"/>
    <n v="13.5"/>
    <x v="0"/>
  </r>
  <r>
    <n v="0"/>
    <x v="0"/>
    <s v="Simmons, Mr. John"/>
    <x v="0"/>
    <m/>
    <n v="0"/>
    <n v="0"/>
    <n v="8.0500000000000007"/>
    <x v="0"/>
  </r>
  <r>
    <n v="0"/>
    <x v="0"/>
    <s v="Meanwell, Miss. (Marion Ogden)"/>
    <x v="1"/>
    <m/>
    <n v="0"/>
    <n v="0"/>
    <n v="8.0500000000000007"/>
    <x v="0"/>
  </r>
  <r>
    <n v="0"/>
    <x v="0"/>
    <s v="Davies, Mr. Alfred J"/>
    <x v="0"/>
    <n v="24"/>
    <n v="2"/>
    <n v="0"/>
    <n v="24.15"/>
    <x v="0"/>
  </r>
  <r>
    <n v="0"/>
    <x v="0"/>
    <s v="Stoytcheff, Mr. Ilia"/>
    <x v="0"/>
    <n v="19"/>
    <n v="0"/>
    <n v="0"/>
    <n v="7.8958000000000004"/>
    <x v="0"/>
  </r>
  <r>
    <n v="0"/>
    <x v="0"/>
    <s v="Palsson, Mrs. Nils (Alma Cornelia Berglund)"/>
    <x v="1"/>
    <n v="29"/>
    <n v="0"/>
    <n v="4"/>
    <n v="21.074999999999999"/>
    <x v="0"/>
  </r>
  <r>
    <n v="0"/>
    <x v="0"/>
    <s v="Doharr, Mr. Tannous"/>
    <x v="0"/>
    <m/>
    <n v="0"/>
    <n v="0"/>
    <n v="7.2291999999999996"/>
    <x v="1"/>
  </r>
  <r>
    <n v="1"/>
    <x v="0"/>
    <s v="Jonsson, Mr. Carl"/>
    <x v="0"/>
    <n v="32"/>
    <n v="0"/>
    <n v="0"/>
    <n v="7.8541999999999996"/>
    <x v="0"/>
  </r>
  <r>
    <n v="1"/>
    <x v="2"/>
    <s v="Harris, Mr. George"/>
    <x v="0"/>
    <n v="62"/>
    <n v="0"/>
    <n v="0"/>
    <n v="10.5"/>
    <x v="0"/>
  </r>
  <r>
    <n v="1"/>
    <x v="1"/>
    <s v="Appleton, Mrs. Edward Dale (Charlotte Lamson)"/>
    <x v="1"/>
    <n v="53"/>
    <n v="2"/>
    <n v="0"/>
    <n v="51.479199999999999"/>
    <x v="0"/>
  </r>
  <r>
    <n v="1"/>
    <x v="1"/>
    <s v="Flynn, Mr. John Irwin (&quot;Irving&quot;)"/>
    <x v="0"/>
    <n v="36"/>
    <n v="0"/>
    <n v="0"/>
    <n v="26.387499999999999"/>
    <x v="0"/>
  </r>
  <r>
    <n v="1"/>
    <x v="0"/>
    <s v="Kelly, Miss. Mary"/>
    <x v="1"/>
    <m/>
    <n v="0"/>
    <n v="0"/>
    <n v="7.75"/>
    <x v="2"/>
  </r>
  <r>
    <n v="0"/>
    <x v="0"/>
    <s v="Rush, Mr. Alfred George John"/>
    <x v="0"/>
    <n v="16"/>
    <n v="0"/>
    <n v="0"/>
    <n v="8.0500000000000007"/>
    <x v="0"/>
  </r>
  <r>
    <n v="0"/>
    <x v="0"/>
    <s v="Patchett, Mr. George"/>
    <x v="0"/>
    <n v="19"/>
    <n v="0"/>
    <n v="0"/>
    <n v="14.5"/>
    <x v="0"/>
  </r>
  <r>
    <n v="1"/>
    <x v="2"/>
    <s v="Garside, Miss. Ethel"/>
    <x v="1"/>
    <n v="34"/>
    <n v="0"/>
    <n v="0"/>
    <n v="13"/>
    <x v="0"/>
  </r>
  <r>
    <n v="1"/>
    <x v="1"/>
    <s v="Silvey, Mrs. William Baird (Alice Munger)"/>
    <x v="1"/>
    <n v="39"/>
    <n v="1"/>
    <n v="0"/>
    <n v="55.9"/>
    <x v="0"/>
  </r>
  <r>
    <n v="0"/>
    <x v="0"/>
    <s v="Caram, Mrs. Joseph (Maria Elias)"/>
    <x v="1"/>
    <m/>
    <n v="1"/>
    <n v="0"/>
    <n v="14.458299999999999"/>
    <x v="1"/>
  </r>
  <r>
    <n v="1"/>
    <x v="0"/>
    <s v="Jussila, Mr. Eiriik"/>
    <x v="0"/>
    <n v="32"/>
    <n v="0"/>
    <n v="0"/>
    <n v="7.9249999999999998"/>
    <x v="0"/>
  </r>
  <r>
    <n v="1"/>
    <x v="2"/>
    <s v="Christy, Miss. Julie Rachel"/>
    <x v="1"/>
    <n v="25"/>
    <n v="1"/>
    <n v="1"/>
    <n v="30"/>
    <x v="0"/>
  </r>
  <r>
    <n v="1"/>
    <x v="1"/>
    <s v="Thayer, Mrs. John Borland (Marian Longstreth Morris)"/>
    <x v="1"/>
    <n v="39"/>
    <n v="1"/>
    <n v="1"/>
    <n v="110.88330000000001"/>
    <x v="1"/>
  </r>
  <r>
    <n v="0"/>
    <x v="2"/>
    <s v="Downton, Mr. William James"/>
    <x v="0"/>
    <n v="54"/>
    <n v="0"/>
    <n v="0"/>
    <n v="26"/>
    <x v="0"/>
  </r>
  <r>
    <n v="0"/>
    <x v="1"/>
    <s v="Ross, Mr. John Hugo"/>
    <x v="0"/>
    <n v="36"/>
    <n v="0"/>
    <n v="0"/>
    <n v="40.125"/>
    <x v="1"/>
  </r>
  <r>
    <n v="0"/>
    <x v="0"/>
    <s v="Paulner, Mr. Uscher"/>
    <x v="0"/>
    <m/>
    <n v="0"/>
    <n v="0"/>
    <n v="8.7125000000000004"/>
    <x v="1"/>
  </r>
  <r>
    <n v="1"/>
    <x v="1"/>
    <s v="Taussig, Miss. Ruth"/>
    <x v="1"/>
    <n v="18"/>
    <n v="0"/>
    <n v="2"/>
    <n v="79.650000000000006"/>
    <x v="0"/>
  </r>
  <r>
    <n v="0"/>
    <x v="2"/>
    <s v="Jarvis, Mr. John Denzil"/>
    <x v="0"/>
    <n v="47"/>
    <n v="0"/>
    <n v="0"/>
    <n v="15"/>
    <x v="0"/>
  </r>
  <r>
    <n v="1"/>
    <x v="1"/>
    <s v="Frolicher-Stehli, Mr. Maxmillian"/>
    <x v="0"/>
    <n v="60"/>
    <n v="1"/>
    <n v="1"/>
    <n v="79.2"/>
    <x v="1"/>
  </r>
  <r>
    <n v="0"/>
    <x v="0"/>
    <s v="Gilinski, Mr. Eliezer"/>
    <x v="0"/>
    <n v="22"/>
    <n v="0"/>
    <n v="0"/>
    <n v="8.0500000000000007"/>
    <x v="0"/>
  </r>
  <r>
    <n v="0"/>
    <x v="0"/>
    <s v="Murdlin, Mr. Joseph"/>
    <x v="0"/>
    <m/>
    <n v="0"/>
    <n v="0"/>
    <n v="8.0500000000000007"/>
    <x v="0"/>
  </r>
  <r>
    <n v="0"/>
    <x v="0"/>
    <s v="Rintamaki, Mr. Matti"/>
    <x v="0"/>
    <n v="35"/>
    <n v="0"/>
    <n v="0"/>
    <n v="7.125"/>
    <x v="0"/>
  </r>
  <r>
    <n v="1"/>
    <x v="1"/>
    <s v="Stephenson, Mrs. Walter Bertram (Martha Eustis)"/>
    <x v="1"/>
    <n v="52"/>
    <n v="1"/>
    <n v="0"/>
    <n v="78.2667"/>
    <x v="1"/>
  </r>
  <r>
    <n v="0"/>
    <x v="0"/>
    <s v="Elsbury, Mr. William James"/>
    <x v="0"/>
    <n v="47"/>
    <n v="0"/>
    <n v="0"/>
    <n v="7.25"/>
    <x v="0"/>
  </r>
  <r>
    <n v="0"/>
    <x v="0"/>
    <s v="Bourke, Miss. Mary"/>
    <x v="1"/>
    <m/>
    <n v="0"/>
    <n v="2"/>
    <n v="7.75"/>
    <x v="2"/>
  </r>
  <r>
    <n v="0"/>
    <x v="2"/>
    <s v="Chapman, Mr. John Henry"/>
    <x v="0"/>
    <n v="37"/>
    <n v="1"/>
    <n v="0"/>
    <n v="26"/>
    <x v="0"/>
  </r>
  <r>
    <n v="0"/>
    <x v="0"/>
    <s v="Van Impe, Mr. Jean Baptiste"/>
    <x v="0"/>
    <n v="36"/>
    <n v="1"/>
    <n v="1"/>
    <n v="24.15"/>
    <x v="0"/>
  </r>
  <r>
    <n v="1"/>
    <x v="2"/>
    <s v="Leitch, Miss. Jessie Wills"/>
    <x v="1"/>
    <m/>
    <n v="0"/>
    <n v="0"/>
    <n v="33"/>
    <x v="0"/>
  </r>
  <r>
    <n v="0"/>
    <x v="0"/>
    <s v="Johnson, Mr. Alfred"/>
    <x v="0"/>
    <n v="49"/>
    <n v="0"/>
    <n v="0"/>
    <n v="0"/>
    <x v="0"/>
  </r>
  <r>
    <n v="0"/>
    <x v="0"/>
    <s v="Boulos, Mr. Hanna"/>
    <x v="0"/>
    <m/>
    <n v="0"/>
    <n v="0"/>
    <n v="7.2249999999999996"/>
    <x v="1"/>
  </r>
  <r>
    <n v="1"/>
    <x v="1"/>
    <s v="Duff Gordon, Sir. Cosmo Edmund (&quot;Mr Morgan&quot;)"/>
    <x v="0"/>
    <n v="49"/>
    <n v="1"/>
    <n v="0"/>
    <n v="56.929200000000002"/>
    <x v="1"/>
  </r>
  <r>
    <n v="1"/>
    <x v="2"/>
    <s v="Jacobsohn, Mrs. Sidney Samuel (Amy Frances Christy)"/>
    <x v="1"/>
    <n v="24"/>
    <n v="2"/>
    <n v="1"/>
    <n v="27"/>
    <x v="0"/>
  </r>
  <r>
    <n v="0"/>
    <x v="0"/>
    <s v="Slabenoff, Mr. Petco"/>
    <x v="0"/>
    <m/>
    <n v="0"/>
    <n v="0"/>
    <n v="7.8958000000000004"/>
    <x v="0"/>
  </r>
  <r>
    <n v="0"/>
    <x v="1"/>
    <s v="Harrington, Mr. Charles H"/>
    <x v="0"/>
    <m/>
    <n v="0"/>
    <n v="0"/>
    <n v="42.4"/>
    <x v="0"/>
  </r>
  <r>
    <n v="0"/>
    <x v="0"/>
    <s v="Torber, Mr. Ernst William"/>
    <x v="0"/>
    <n v="44"/>
    <n v="0"/>
    <n v="0"/>
    <n v="8.0500000000000007"/>
    <x v="0"/>
  </r>
  <r>
    <n v="1"/>
    <x v="1"/>
    <s v="Homer, Mr. Harry (&quot;Mr E Haven&quot;)"/>
    <x v="0"/>
    <n v="35"/>
    <n v="0"/>
    <n v="0"/>
    <n v="26.55"/>
    <x v="1"/>
  </r>
  <r>
    <n v="0"/>
    <x v="0"/>
    <s v="Lindell, Mr. Edvard Bengtsson"/>
    <x v="0"/>
    <n v="36"/>
    <n v="1"/>
    <n v="0"/>
    <n v="15.55"/>
    <x v="0"/>
  </r>
  <r>
    <n v="0"/>
    <x v="0"/>
    <s v="Karaic, Mr. Milan"/>
    <x v="0"/>
    <n v="30"/>
    <n v="0"/>
    <n v="0"/>
    <n v="7.8958000000000004"/>
    <x v="0"/>
  </r>
  <r>
    <n v="1"/>
    <x v="1"/>
    <s v="Daniel, Mr. Robert Williams"/>
    <x v="0"/>
    <n v="27"/>
    <n v="0"/>
    <n v="0"/>
    <n v="30.5"/>
    <x v="0"/>
  </r>
  <r>
    <n v="1"/>
    <x v="2"/>
    <s v="Laroche, Mrs. Joseph (Juliette Marie Louise Lafargue)"/>
    <x v="1"/>
    <n v="22"/>
    <n v="1"/>
    <n v="2"/>
    <n v="41.5792"/>
    <x v="1"/>
  </r>
  <r>
    <n v="1"/>
    <x v="1"/>
    <s v="Shutes, Miss. Elizabeth W"/>
    <x v="1"/>
    <n v="40"/>
    <n v="0"/>
    <n v="0"/>
    <n v="153.46250000000001"/>
    <x v="0"/>
  </r>
  <r>
    <n v="0"/>
    <x v="0"/>
    <s v="Andersson, Mrs. Anders Johan (Alfrida Konstantia Brogren)"/>
    <x v="1"/>
    <n v="39"/>
    <n v="1"/>
    <n v="5"/>
    <n v="31.274999999999999"/>
    <x v="0"/>
  </r>
  <r>
    <n v="0"/>
    <x v="0"/>
    <s v="Jardin, Mr. Jose Neto"/>
    <x v="0"/>
    <m/>
    <n v="0"/>
    <n v="0"/>
    <n v="7.05"/>
    <x v="0"/>
  </r>
  <r>
    <n v="1"/>
    <x v="0"/>
    <s v="Murphy, Miss. Margaret Jane"/>
    <x v="1"/>
    <m/>
    <n v="1"/>
    <n v="0"/>
    <n v="15.5"/>
    <x v="2"/>
  </r>
  <r>
    <n v="0"/>
    <x v="0"/>
    <s v="Horgan, Mr. John"/>
    <x v="0"/>
    <m/>
    <n v="0"/>
    <n v="0"/>
    <n v="7.75"/>
    <x v="2"/>
  </r>
  <r>
    <n v="0"/>
    <x v="0"/>
    <s v="Brocklebank, Mr. William Alfred"/>
    <x v="0"/>
    <n v="35"/>
    <n v="0"/>
    <n v="0"/>
    <n v="8.0500000000000007"/>
    <x v="0"/>
  </r>
  <r>
    <n v="1"/>
    <x v="2"/>
    <s v="Herman, Miss. Alice"/>
    <x v="1"/>
    <n v="24"/>
    <n v="1"/>
    <n v="2"/>
    <n v="65"/>
    <x v="0"/>
  </r>
  <r>
    <n v="0"/>
    <x v="0"/>
    <s v="Danbom, Mr. Ernst Gilbert"/>
    <x v="0"/>
    <n v="34"/>
    <n v="1"/>
    <n v="1"/>
    <n v="14.4"/>
    <x v="0"/>
  </r>
  <r>
    <n v="0"/>
    <x v="0"/>
    <s v="Lobb, Mrs. William Arthur (Cordelia K Stanlick)"/>
    <x v="1"/>
    <n v="26"/>
    <n v="1"/>
    <n v="0"/>
    <n v="16.100000000000001"/>
    <x v="0"/>
  </r>
  <r>
    <n v="1"/>
    <x v="2"/>
    <s v="Becker, Miss. Marion Louise"/>
    <x v="1"/>
    <n v="4"/>
    <n v="2"/>
    <n v="1"/>
    <n v="39"/>
    <x v="0"/>
  </r>
  <r>
    <n v="0"/>
    <x v="2"/>
    <s v="Gavey, Mr. Lawrence"/>
    <x v="0"/>
    <n v="26"/>
    <n v="0"/>
    <n v="0"/>
    <n v="10.5"/>
    <x v="0"/>
  </r>
  <r>
    <n v="0"/>
    <x v="0"/>
    <s v="Yasbeck, Mr. Antoni"/>
    <x v="0"/>
    <n v="27"/>
    <n v="1"/>
    <n v="0"/>
    <n v="14.4542"/>
    <x v="1"/>
  </r>
  <r>
    <n v="1"/>
    <x v="1"/>
    <s v="Kimball, Mr. Edwin Nelson Jr"/>
    <x v="0"/>
    <n v="42"/>
    <n v="1"/>
    <n v="0"/>
    <n v="52.554200000000002"/>
    <x v="0"/>
  </r>
  <r>
    <n v="1"/>
    <x v="0"/>
    <s v="Nakid, Mr. Sahid"/>
    <x v="0"/>
    <n v="20"/>
    <n v="1"/>
    <n v="1"/>
    <n v="15.7417"/>
    <x v="1"/>
  </r>
  <r>
    <n v="0"/>
    <x v="0"/>
    <s v="Hansen, Mr. Henry Damsgaard"/>
    <x v="0"/>
    <n v="21"/>
    <n v="0"/>
    <n v="0"/>
    <n v="7.8541999999999996"/>
    <x v="0"/>
  </r>
  <r>
    <n v="0"/>
    <x v="0"/>
    <s v="Bowen, Mr. David John &quot;Dai&quot;"/>
    <x v="0"/>
    <n v="21"/>
    <n v="0"/>
    <n v="0"/>
    <n v="16.100000000000001"/>
    <x v="0"/>
  </r>
  <r>
    <n v="0"/>
    <x v="1"/>
    <s v="Sutton, Mr. Frederick"/>
    <x v="0"/>
    <n v="61"/>
    <n v="0"/>
    <n v="0"/>
    <n v="32.320799999999998"/>
    <x v="0"/>
  </r>
  <r>
    <n v="0"/>
    <x v="2"/>
    <s v="Kirkland, Rev. Charles Leonard"/>
    <x v="0"/>
    <n v="57"/>
    <n v="0"/>
    <n v="0"/>
    <n v="12.35"/>
    <x v="2"/>
  </r>
  <r>
    <n v="1"/>
    <x v="1"/>
    <s v="Longley, Miss. Gretchen Fiske"/>
    <x v="1"/>
    <n v="21"/>
    <n v="0"/>
    <n v="0"/>
    <n v="77.958299999999994"/>
    <x v="0"/>
  </r>
  <r>
    <n v="0"/>
    <x v="0"/>
    <s v="Bostandyeff, Mr. Guentcho"/>
    <x v="0"/>
    <n v="26"/>
    <n v="0"/>
    <n v="0"/>
    <n v="7.8958000000000004"/>
    <x v="0"/>
  </r>
  <r>
    <n v="0"/>
    <x v="0"/>
    <s v="O'Connell, Mr. Patrick D"/>
    <x v="0"/>
    <m/>
    <n v="0"/>
    <n v="0"/>
    <n v="7.7332999999999998"/>
    <x v="2"/>
  </r>
  <r>
    <n v="1"/>
    <x v="1"/>
    <s v="Barkworth, Mr. Algernon Henry Wilson"/>
    <x v="0"/>
    <n v="80"/>
    <n v="0"/>
    <n v="0"/>
    <n v="30"/>
    <x v="0"/>
  </r>
  <r>
    <n v="0"/>
    <x v="0"/>
    <s v="Lundahl, Mr. Johan Svensson"/>
    <x v="0"/>
    <n v="51"/>
    <n v="0"/>
    <n v="0"/>
    <n v="7.0541999999999998"/>
    <x v="0"/>
  </r>
  <r>
    <n v="1"/>
    <x v="1"/>
    <s v="Stahelin-Maeglin, Dr. Max"/>
    <x v="0"/>
    <n v="32"/>
    <n v="0"/>
    <n v="0"/>
    <n v="30.5"/>
    <x v="1"/>
  </r>
  <r>
    <n v="0"/>
    <x v="1"/>
    <s v="Parr, Mr. William Henry Marsh"/>
    <x v="0"/>
    <m/>
    <n v="0"/>
    <n v="0"/>
    <n v="0"/>
    <x v="0"/>
  </r>
  <r>
    <n v="0"/>
    <x v="0"/>
    <s v="Skoog, Miss. Mabel"/>
    <x v="1"/>
    <n v="9"/>
    <n v="3"/>
    <n v="2"/>
    <n v="27.9"/>
    <x v="0"/>
  </r>
  <r>
    <n v="1"/>
    <x v="2"/>
    <s v="Davis, Miss. Mary"/>
    <x v="1"/>
    <n v="28"/>
    <n v="0"/>
    <n v="0"/>
    <n v="13"/>
    <x v="0"/>
  </r>
  <r>
    <n v="0"/>
    <x v="0"/>
    <s v="Leinonen, Mr. Antti Gustaf"/>
    <x v="0"/>
    <n v="32"/>
    <n v="0"/>
    <n v="0"/>
    <n v="7.9249999999999998"/>
    <x v="0"/>
  </r>
  <r>
    <n v="0"/>
    <x v="2"/>
    <s v="Collyer, Mr. Harvey"/>
    <x v="0"/>
    <n v="31"/>
    <n v="1"/>
    <n v="1"/>
    <n v="26.25"/>
    <x v="0"/>
  </r>
  <r>
    <n v="0"/>
    <x v="0"/>
    <s v="Panula, Mrs. Juha (Maria Emilia Ojala)"/>
    <x v="1"/>
    <n v="41"/>
    <n v="0"/>
    <n v="5"/>
    <n v="39.6875"/>
    <x v="0"/>
  </r>
  <r>
    <n v="0"/>
    <x v="0"/>
    <s v="Thorneycroft, Mr. Percival"/>
    <x v="0"/>
    <m/>
    <n v="1"/>
    <n v="0"/>
    <n v="16.100000000000001"/>
    <x v="0"/>
  </r>
  <r>
    <n v="0"/>
    <x v="0"/>
    <s v="Jensen, Mr. Hans Peder"/>
    <x v="0"/>
    <n v="20"/>
    <n v="0"/>
    <n v="0"/>
    <n v="7.8541999999999996"/>
    <x v="0"/>
  </r>
  <r>
    <n v="1"/>
    <x v="1"/>
    <s v="Sagesser, Mlle. Emma"/>
    <x v="1"/>
    <n v="24"/>
    <n v="0"/>
    <n v="0"/>
    <n v="69.3"/>
    <x v="1"/>
  </r>
  <r>
    <n v="0"/>
    <x v="0"/>
    <s v="Skoog, Miss. Margit Elizabeth"/>
    <x v="1"/>
    <n v="2"/>
    <n v="3"/>
    <n v="2"/>
    <n v="27.9"/>
    <x v="0"/>
  </r>
  <r>
    <n v="1"/>
    <x v="0"/>
    <s v="Foo, Mr. Choong"/>
    <x v="0"/>
    <m/>
    <n v="0"/>
    <n v="0"/>
    <n v="56.495800000000003"/>
    <x v="0"/>
  </r>
  <r>
    <n v="1"/>
    <x v="0"/>
    <s v="Baclini, Miss. Eugenie"/>
    <x v="1"/>
    <n v="0.75"/>
    <n v="2"/>
    <n v="1"/>
    <n v="19.258299999999998"/>
    <x v="1"/>
  </r>
  <r>
    <n v="1"/>
    <x v="1"/>
    <s v="Harper, Mr. Henry Sleeper"/>
    <x v="0"/>
    <n v="48"/>
    <n v="1"/>
    <n v="0"/>
    <n v="76.729200000000006"/>
    <x v="1"/>
  </r>
  <r>
    <n v="0"/>
    <x v="0"/>
    <s v="Cor, Mr. Liudevit"/>
    <x v="0"/>
    <n v="19"/>
    <n v="0"/>
    <n v="0"/>
    <n v="7.8958000000000004"/>
    <x v="0"/>
  </r>
  <r>
    <n v="1"/>
    <x v="1"/>
    <s v="Simonius-Blumer, Col. Oberst Alfons"/>
    <x v="0"/>
    <n v="56"/>
    <n v="0"/>
    <n v="0"/>
    <n v="35.5"/>
    <x v="1"/>
  </r>
  <r>
    <n v="0"/>
    <x v="0"/>
    <s v="Willey, Mr. Edward"/>
    <x v="0"/>
    <m/>
    <n v="0"/>
    <n v="0"/>
    <n v="7.55"/>
    <x v="0"/>
  </r>
  <r>
    <n v="1"/>
    <x v="0"/>
    <s v="Stanley, Miss. Amy Zillah Elsie"/>
    <x v="1"/>
    <n v="23"/>
    <n v="0"/>
    <n v="0"/>
    <n v="7.55"/>
    <x v="0"/>
  </r>
  <r>
    <n v="0"/>
    <x v="0"/>
    <s v="Mitkoff, Mr. Mito"/>
    <x v="0"/>
    <m/>
    <n v="0"/>
    <n v="0"/>
    <n v="7.8958000000000004"/>
    <x v="0"/>
  </r>
  <r>
    <n v="1"/>
    <x v="2"/>
    <s v="Doling, Miss. Elsie"/>
    <x v="1"/>
    <n v="18"/>
    <n v="0"/>
    <n v="1"/>
    <n v="23"/>
    <x v="0"/>
  </r>
  <r>
    <n v="0"/>
    <x v="0"/>
    <s v="Kalvik, Mr. Johannes Halvorsen"/>
    <x v="0"/>
    <n v="21"/>
    <n v="0"/>
    <n v="0"/>
    <n v="8.4332999999999991"/>
    <x v="0"/>
  </r>
  <r>
    <n v="1"/>
    <x v="0"/>
    <s v="O'Leary, Miss. Hanora &quot;Norah&quot;"/>
    <x v="1"/>
    <m/>
    <n v="0"/>
    <n v="0"/>
    <n v="7.8292000000000002"/>
    <x v="2"/>
  </r>
  <r>
    <n v="0"/>
    <x v="0"/>
    <s v="Hegarty, Miss. Hanora &quot;Nora&quot;"/>
    <x v="1"/>
    <n v="18"/>
    <n v="0"/>
    <n v="0"/>
    <n v="6.75"/>
    <x v="2"/>
  </r>
  <r>
    <n v="0"/>
    <x v="2"/>
    <s v="Hickman, Mr. Leonard Mark"/>
    <x v="0"/>
    <n v="24"/>
    <n v="2"/>
    <n v="0"/>
    <n v="73.5"/>
    <x v="0"/>
  </r>
  <r>
    <n v="0"/>
    <x v="0"/>
    <s v="Radeff, Mr. Alexander"/>
    <x v="0"/>
    <m/>
    <n v="0"/>
    <n v="0"/>
    <n v="7.8958000000000004"/>
    <x v="0"/>
  </r>
  <r>
    <n v="0"/>
    <x v="0"/>
    <s v="Bourke, Mrs. John (Catherine)"/>
    <x v="1"/>
    <n v="32"/>
    <n v="1"/>
    <n v="1"/>
    <n v="15.5"/>
    <x v="2"/>
  </r>
  <r>
    <n v="0"/>
    <x v="2"/>
    <s v="Eitemiller, Mr. George Floyd"/>
    <x v="0"/>
    <n v="23"/>
    <n v="0"/>
    <n v="0"/>
    <n v="13"/>
    <x v="0"/>
  </r>
  <r>
    <n v="0"/>
    <x v="1"/>
    <s v="Newell, Mr. Arthur Webster"/>
    <x v="0"/>
    <n v="58"/>
    <n v="0"/>
    <n v="2"/>
    <n v="113.27500000000001"/>
    <x v="1"/>
  </r>
  <r>
    <n v="1"/>
    <x v="1"/>
    <s v="Frauenthal, Dr. Henry William"/>
    <x v="0"/>
    <n v="50"/>
    <n v="2"/>
    <n v="0"/>
    <n v="133.65"/>
    <x v="0"/>
  </r>
  <r>
    <n v="0"/>
    <x v="0"/>
    <s v="Badt, Mr. Mohamed"/>
    <x v="0"/>
    <n v="40"/>
    <n v="0"/>
    <n v="0"/>
    <n v="7.2249999999999996"/>
    <x v="1"/>
  </r>
  <r>
    <n v="0"/>
    <x v="1"/>
    <s v="Colley, Mr. Edward Pomeroy"/>
    <x v="0"/>
    <n v="47"/>
    <n v="0"/>
    <n v="0"/>
    <n v="25.587499999999999"/>
    <x v="0"/>
  </r>
  <r>
    <n v="0"/>
    <x v="0"/>
    <s v="Coleff, Mr. Peju"/>
    <x v="0"/>
    <n v="36"/>
    <n v="0"/>
    <n v="0"/>
    <n v="7.4958"/>
    <x v="0"/>
  </r>
  <r>
    <n v="1"/>
    <x v="0"/>
    <s v="Lindqvist, Mr. Eino William"/>
    <x v="0"/>
    <n v="20"/>
    <n v="1"/>
    <n v="0"/>
    <n v="7.9249999999999998"/>
    <x v="0"/>
  </r>
  <r>
    <n v="0"/>
    <x v="2"/>
    <s v="Hickman, Mr. Lewis"/>
    <x v="0"/>
    <n v="32"/>
    <n v="2"/>
    <n v="0"/>
    <n v="73.5"/>
    <x v="0"/>
  </r>
  <r>
    <n v="0"/>
    <x v="2"/>
    <s v="Butler, Mr. Reginald Fenton"/>
    <x v="0"/>
    <n v="25"/>
    <n v="0"/>
    <n v="0"/>
    <n v="13"/>
    <x v="0"/>
  </r>
  <r>
    <n v="0"/>
    <x v="0"/>
    <s v="Rommetvedt, Mr. Knud Paust"/>
    <x v="0"/>
    <m/>
    <n v="0"/>
    <n v="0"/>
    <n v="7.7750000000000004"/>
    <x v="0"/>
  </r>
  <r>
    <n v="0"/>
    <x v="0"/>
    <s v="Cook, Mr. Jacob"/>
    <x v="0"/>
    <n v="43"/>
    <n v="0"/>
    <n v="0"/>
    <n v="8.0500000000000007"/>
    <x v="0"/>
  </r>
  <r>
    <n v="1"/>
    <x v="1"/>
    <s v="Taylor, Mrs. Elmer Zebley (Juliet Cummins Wright)"/>
    <x v="1"/>
    <m/>
    <n v="1"/>
    <n v="0"/>
    <n v="52"/>
    <x v="0"/>
  </r>
  <r>
    <n v="1"/>
    <x v="2"/>
    <s v="Brown, Mrs. Thomas William Solomon (Elizabeth Catherine Ford)"/>
    <x v="1"/>
    <n v="40"/>
    <n v="1"/>
    <n v="1"/>
    <n v="39"/>
    <x v="0"/>
  </r>
  <r>
    <n v="0"/>
    <x v="1"/>
    <s v="Davidson, Mr. Thornton"/>
    <x v="0"/>
    <n v="31"/>
    <n v="1"/>
    <n v="0"/>
    <n v="52"/>
    <x v="0"/>
  </r>
  <r>
    <n v="0"/>
    <x v="2"/>
    <s v="Mitchell, Mr. Henry Michael"/>
    <x v="0"/>
    <n v="70"/>
    <n v="0"/>
    <n v="0"/>
    <n v="10.5"/>
    <x v="0"/>
  </r>
  <r>
    <n v="1"/>
    <x v="2"/>
    <s v="Wilhelms, Mr. Charles"/>
    <x v="0"/>
    <n v="31"/>
    <n v="0"/>
    <n v="0"/>
    <n v="13"/>
    <x v="0"/>
  </r>
  <r>
    <n v="0"/>
    <x v="2"/>
    <s v="Watson, Mr. Ennis Hastings"/>
    <x v="0"/>
    <m/>
    <n v="0"/>
    <n v="0"/>
    <n v="0"/>
    <x v="0"/>
  </r>
  <r>
    <n v="0"/>
    <x v="0"/>
    <s v="Edvardsson, Mr. Gustaf Hjalmar"/>
    <x v="0"/>
    <n v="18"/>
    <n v="0"/>
    <n v="0"/>
    <n v="7.7750000000000004"/>
    <x v="0"/>
  </r>
  <r>
    <n v="0"/>
    <x v="0"/>
    <s v="Sawyer, Mr. Frederick Charles"/>
    <x v="0"/>
    <n v="24.5"/>
    <n v="0"/>
    <n v="0"/>
    <n v="8.0500000000000007"/>
    <x v="0"/>
  </r>
  <r>
    <n v="1"/>
    <x v="0"/>
    <s v="Turja, Miss. Anna Sofia"/>
    <x v="1"/>
    <n v="18"/>
    <n v="0"/>
    <n v="0"/>
    <n v="9.8416999999999994"/>
    <x v="0"/>
  </r>
  <r>
    <n v="0"/>
    <x v="0"/>
    <s v="Goodwin, Mrs. Frederick (Augusta Tyler)"/>
    <x v="1"/>
    <n v="43"/>
    <n v="1"/>
    <n v="6"/>
    <n v="46.9"/>
    <x v="0"/>
  </r>
  <r>
    <n v="1"/>
    <x v="1"/>
    <s v="Cardeza, Mr. Thomas Drake Martinez"/>
    <x v="0"/>
    <n v="36"/>
    <n v="0"/>
    <n v="1"/>
    <n v="512.32920000000001"/>
    <x v="1"/>
  </r>
  <r>
    <n v="0"/>
    <x v="0"/>
    <s v="Peters, Miss. Katie"/>
    <x v="1"/>
    <m/>
    <n v="0"/>
    <n v="0"/>
    <n v="8.1374999999999993"/>
    <x v="2"/>
  </r>
  <r>
    <n v="1"/>
    <x v="1"/>
    <s v="Hassab, Mr. Hammad"/>
    <x v="0"/>
    <n v="27"/>
    <n v="0"/>
    <n v="0"/>
    <n v="76.729200000000006"/>
    <x v="1"/>
  </r>
  <r>
    <n v="0"/>
    <x v="0"/>
    <s v="Olsvigen, Mr. Thor Anderson"/>
    <x v="0"/>
    <n v="20"/>
    <n v="0"/>
    <n v="0"/>
    <n v="9.2249999999999996"/>
    <x v="0"/>
  </r>
  <r>
    <n v="0"/>
    <x v="0"/>
    <s v="Goodwin, Mr. Charles Edward"/>
    <x v="0"/>
    <n v="14"/>
    <n v="5"/>
    <n v="2"/>
    <n v="46.9"/>
    <x v="0"/>
  </r>
  <r>
    <n v="0"/>
    <x v="2"/>
    <s v="Brown, Mr. Thomas William Solomon"/>
    <x v="0"/>
    <n v="60"/>
    <n v="1"/>
    <n v="1"/>
    <n v="39"/>
    <x v="0"/>
  </r>
  <r>
    <n v="0"/>
    <x v="2"/>
    <s v="Laroche, Mr. Joseph Philippe Lemercier"/>
    <x v="0"/>
    <n v="25"/>
    <n v="1"/>
    <n v="2"/>
    <n v="41.5792"/>
    <x v="1"/>
  </r>
  <r>
    <n v="0"/>
    <x v="0"/>
    <s v="Panula, Mr. Jaako Arnold"/>
    <x v="0"/>
    <n v="14"/>
    <n v="4"/>
    <n v="1"/>
    <n v="39.6875"/>
    <x v="0"/>
  </r>
  <r>
    <n v="0"/>
    <x v="0"/>
    <s v="Dakic, Mr. Branko"/>
    <x v="0"/>
    <n v="19"/>
    <n v="0"/>
    <n v="0"/>
    <n v="10.1708"/>
    <x v="0"/>
  </r>
  <r>
    <n v="0"/>
    <x v="0"/>
    <s v="Fischer, Mr. Eberhard Thelander"/>
    <x v="0"/>
    <n v="18"/>
    <n v="0"/>
    <n v="0"/>
    <n v="7.7957999999999998"/>
    <x v="0"/>
  </r>
  <r>
    <n v="1"/>
    <x v="1"/>
    <s v="Madill, Miss. Georgette Alexandra"/>
    <x v="1"/>
    <n v="15"/>
    <n v="0"/>
    <n v="1"/>
    <n v="211.33750000000001"/>
    <x v="0"/>
  </r>
  <r>
    <n v="1"/>
    <x v="1"/>
    <s v="Dick, Mr. Albert Adrian"/>
    <x v="0"/>
    <n v="31"/>
    <n v="1"/>
    <n v="0"/>
    <n v="57"/>
    <x v="0"/>
  </r>
  <r>
    <n v="1"/>
    <x v="0"/>
    <s v="Karun, Miss. Manca"/>
    <x v="1"/>
    <n v="4"/>
    <n v="0"/>
    <n v="1"/>
    <n v="13.416700000000001"/>
    <x v="1"/>
  </r>
  <r>
    <n v="1"/>
    <x v="0"/>
    <s v="Lam, Mr. Ali"/>
    <x v="0"/>
    <m/>
    <n v="0"/>
    <n v="0"/>
    <n v="56.495800000000003"/>
    <x v="0"/>
  </r>
  <r>
    <n v="0"/>
    <x v="0"/>
    <s v="Saad, Mr. Khalil"/>
    <x v="0"/>
    <n v="25"/>
    <n v="0"/>
    <n v="0"/>
    <n v="7.2249999999999996"/>
    <x v="1"/>
  </r>
  <r>
    <n v="0"/>
    <x v="1"/>
    <s v="Weir, Col. John"/>
    <x v="0"/>
    <n v="60"/>
    <n v="0"/>
    <n v="0"/>
    <n v="26.55"/>
    <x v="0"/>
  </r>
  <r>
    <n v="0"/>
    <x v="2"/>
    <s v="Chapman, Mr. Charles Henry"/>
    <x v="0"/>
    <n v="52"/>
    <n v="0"/>
    <n v="0"/>
    <n v="13.5"/>
    <x v="0"/>
  </r>
  <r>
    <n v="0"/>
    <x v="0"/>
    <s v="Kelly, Mr. James"/>
    <x v="0"/>
    <n v="44"/>
    <n v="0"/>
    <n v="0"/>
    <n v="8.0500000000000007"/>
    <x v="0"/>
  </r>
  <r>
    <n v="1"/>
    <x v="0"/>
    <s v="Mullens, Miss. Katherine &quot;Katie&quot;"/>
    <x v="1"/>
    <m/>
    <n v="0"/>
    <n v="0"/>
    <n v="7.7332999999999998"/>
    <x v="2"/>
  </r>
  <r>
    <n v="0"/>
    <x v="1"/>
    <s v="Thayer, Mr. John Borland"/>
    <x v="0"/>
    <n v="49"/>
    <n v="1"/>
    <n v="1"/>
    <n v="110.88330000000001"/>
    <x v="1"/>
  </r>
  <r>
    <n v="0"/>
    <x v="0"/>
    <s v="Humblen, Mr. Adolf Mathias Nicolai Olsen"/>
    <x v="0"/>
    <n v="42"/>
    <n v="0"/>
    <n v="0"/>
    <n v="7.65"/>
    <x v="0"/>
  </r>
  <r>
    <n v="1"/>
    <x v="1"/>
    <s v="Astor, Mrs. John Jacob (Madeleine Talmadge Force)"/>
    <x v="1"/>
    <n v="18"/>
    <n v="1"/>
    <n v="0"/>
    <n v="227.52500000000001"/>
    <x v="1"/>
  </r>
  <r>
    <n v="1"/>
    <x v="1"/>
    <s v="Silverthorne, Mr. Spencer Victor"/>
    <x v="0"/>
    <n v="35"/>
    <n v="0"/>
    <n v="0"/>
    <n v="26.287500000000001"/>
    <x v="0"/>
  </r>
  <r>
    <n v="0"/>
    <x v="0"/>
    <s v="Barbara, Miss. Saiide"/>
    <x v="1"/>
    <n v="18"/>
    <n v="0"/>
    <n v="1"/>
    <n v="14.4542"/>
    <x v="1"/>
  </r>
  <r>
    <n v="0"/>
    <x v="0"/>
    <s v="Gallagher, Mr. Martin"/>
    <x v="0"/>
    <n v="25"/>
    <n v="0"/>
    <n v="0"/>
    <n v="7.7416999999999998"/>
    <x v="2"/>
  </r>
  <r>
    <n v="0"/>
    <x v="0"/>
    <s v="Hansen, Mr. Henrik Juul"/>
    <x v="0"/>
    <n v="26"/>
    <n v="1"/>
    <n v="0"/>
    <n v="7.8541999999999996"/>
    <x v="0"/>
  </r>
  <r>
    <n v="0"/>
    <x v="2"/>
    <s v="Morley, Mr. Henry Samuel (&quot;Mr Henry Marshall&quot;)"/>
    <x v="0"/>
    <n v="39"/>
    <n v="0"/>
    <n v="0"/>
    <n v="26"/>
    <x v="0"/>
  </r>
  <r>
    <n v="1"/>
    <x v="2"/>
    <s v="Kelly, Mrs. Florence &quot;Fannie&quot;"/>
    <x v="1"/>
    <n v="45"/>
    <n v="0"/>
    <n v="0"/>
    <n v="13.5"/>
    <x v="0"/>
  </r>
  <r>
    <n v="1"/>
    <x v="1"/>
    <s v="Calderhead, Mr. Edward Pennington"/>
    <x v="0"/>
    <n v="42"/>
    <n v="0"/>
    <n v="0"/>
    <n v="26.287500000000001"/>
    <x v="0"/>
  </r>
  <r>
    <n v="1"/>
    <x v="1"/>
    <s v="Cleaver, Miss. Alice"/>
    <x v="1"/>
    <n v="22"/>
    <n v="0"/>
    <n v="0"/>
    <n v="151.55000000000001"/>
    <x v="0"/>
  </r>
  <r>
    <n v="1"/>
    <x v="0"/>
    <s v="Moubarek, Master. Halim Gonios (&quot;William George&quot;)"/>
    <x v="0"/>
    <m/>
    <n v="1"/>
    <n v="1"/>
    <n v="15.245799999999999"/>
    <x v="1"/>
  </r>
  <r>
    <n v="1"/>
    <x v="1"/>
    <s v="Mayne, Mlle. Berthe Antonine (&quot;Mrs de Villiers&quot;)"/>
    <x v="1"/>
    <n v="24"/>
    <n v="0"/>
    <n v="0"/>
    <n v="49.504199999999997"/>
    <x v="1"/>
  </r>
  <r>
    <n v="0"/>
    <x v="1"/>
    <s v="Klaber, Mr. Herman"/>
    <x v="0"/>
    <m/>
    <n v="0"/>
    <n v="0"/>
    <n v="26.55"/>
    <x v="0"/>
  </r>
  <r>
    <n v="1"/>
    <x v="1"/>
    <s v="Taylor, Mr. Elmer Zebley"/>
    <x v="0"/>
    <n v="48"/>
    <n v="1"/>
    <n v="0"/>
    <n v="52"/>
    <x v="0"/>
  </r>
  <r>
    <n v="0"/>
    <x v="0"/>
    <s v="Larsson, Mr. August Viktor"/>
    <x v="0"/>
    <n v="29"/>
    <n v="0"/>
    <n v="0"/>
    <n v="9.4832999999999998"/>
    <x v="0"/>
  </r>
  <r>
    <n v="0"/>
    <x v="2"/>
    <s v="Greenberg, Mr. Samuel"/>
    <x v="0"/>
    <n v="52"/>
    <n v="0"/>
    <n v="0"/>
    <n v="13"/>
    <x v="0"/>
  </r>
  <r>
    <n v="0"/>
    <x v="0"/>
    <s v="Soholt, Mr. Peter Andreas Lauritz Andersen"/>
    <x v="0"/>
    <n v="19"/>
    <n v="0"/>
    <n v="0"/>
    <n v="7.65"/>
    <x v="0"/>
  </r>
  <r>
    <n v="1"/>
    <x v="1"/>
    <s v="Endres, Miss. Caroline Louise"/>
    <x v="1"/>
    <n v="38"/>
    <n v="0"/>
    <n v="0"/>
    <n v="227.52500000000001"/>
    <x v="1"/>
  </r>
  <r>
    <n v="1"/>
    <x v="2"/>
    <s v="Troutt, Miss. Edwina Celia &quot;Winnie&quot;"/>
    <x v="1"/>
    <n v="27"/>
    <n v="0"/>
    <n v="0"/>
    <n v="10.5"/>
    <x v="0"/>
  </r>
  <r>
    <n v="0"/>
    <x v="0"/>
    <s v="McEvoy, Mr. Michael"/>
    <x v="0"/>
    <m/>
    <n v="0"/>
    <n v="0"/>
    <n v="15.5"/>
    <x v="2"/>
  </r>
  <r>
    <n v="0"/>
    <x v="0"/>
    <s v="Johnson, Mr. Malkolm Joackim"/>
    <x v="0"/>
    <n v="33"/>
    <n v="0"/>
    <n v="0"/>
    <n v="7.7750000000000004"/>
    <x v="0"/>
  </r>
  <r>
    <n v="1"/>
    <x v="2"/>
    <s v="Harper, Miss. Annie Jessie &quot;Nina&quot;"/>
    <x v="1"/>
    <n v="6"/>
    <n v="0"/>
    <n v="1"/>
    <n v="33"/>
    <x v="0"/>
  </r>
  <r>
    <n v="0"/>
    <x v="0"/>
    <s v="Jensen, Mr. Svend Lauritz"/>
    <x v="0"/>
    <n v="17"/>
    <n v="1"/>
    <n v="0"/>
    <n v="7.0541999999999998"/>
    <x v="0"/>
  </r>
  <r>
    <n v="0"/>
    <x v="2"/>
    <s v="Gillespie, Mr. William Henry"/>
    <x v="0"/>
    <n v="34"/>
    <n v="0"/>
    <n v="0"/>
    <n v="13"/>
    <x v="0"/>
  </r>
  <r>
    <n v="0"/>
    <x v="2"/>
    <s v="Hodges, Mr. Henry Price"/>
    <x v="0"/>
    <n v="50"/>
    <n v="0"/>
    <n v="0"/>
    <n v="13"/>
    <x v="0"/>
  </r>
  <r>
    <n v="1"/>
    <x v="1"/>
    <s v="Chambers, Mr. Norman Campbell"/>
    <x v="0"/>
    <n v="27"/>
    <n v="1"/>
    <n v="0"/>
    <n v="53.1"/>
    <x v="0"/>
  </r>
  <r>
    <n v="0"/>
    <x v="0"/>
    <s v="Oreskovic, Mr. Luka"/>
    <x v="0"/>
    <n v="20"/>
    <n v="0"/>
    <n v="0"/>
    <n v="8.6624999999999996"/>
    <x v="0"/>
  </r>
  <r>
    <n v="1"/>
    <x v="2"/>
    <s v="Renouf, Mrs. Peter Henry (Lillian Jefferys)"/>
    <x v="1"/>
    <n v="30"/>
    <n v="3"/>
    <n v="0"/>
    <n v="21"/>
    <x v="0"/>
  </r>
  <r>
    <n v="1"/>
    <x v="0"/>
    <s v="Mannion, Miss. Margareth"/>
    <x v="1"/>
    <m/>
    <n v="0"/>
    <n v="0"/>
    <n v="7.7374999999999998"/>
    <x v="2"/>
  </r>
  <r>
    <n v="0"/>
    <x v="2"/>
    <s v="Bryhl, Mr. Kurt Arnold Gottfrid"/>
    <x v="0"/>
    <n v="25"/>
    <n v="1"/>
    <n v="0"/>
    <n v="26"/>
    <x v="0"/>
  </r>
  <r>
    <n v="0"/>
    <x v="0"/>
    <s v="Ilmakangas, Miss. Pieta Sofia"/>
    <x v="1"/>
    <n v="25"/>
    <n v="1"/>
    <n v="0"/>
    <n v="7.9249999999999998"/>
    <x v="0"/>
  </r>
  <r>
    <n v="1"/>
    <x v="1"/>
    <s v="Allen, Miss. Elisabeth Walton"/>
    <x v="1"/>
    <n v="29"/>
    <n v="0"/>
    <n v="0"/>
    <n v="211.33750000000001"/>
    <x v="0"/>
  </r>
  <r>
    <n v="0"/>
    <x v="0"/>
    <s v="Hassan, Mr. Houssein G N"/>
    <x v="0"/>
    <n v="11"/>
    <n v="0"/>
    <n v="0"/>
    <n v="18.787500000000001"/>
    <x v="1"/>
  </r>
  <r>
    <n v="0"/>
    <x v="2"/>
    <s v="Knight, Mr. Robert J"/>
    <x v="0"/>
    <m/>
    <n v="0"/>
    <n v="0"/>
    <n v="0"/>
    <x v="0"/>
  </r>
  <r>
    <n v="0"/>
    <x v="2"/>
    <s v="Berriman, Mr. William John"/>
    <x v="0"/>
    <n v="23"/>
    <n v="0"/>
    <n v="0"/>
    <n v="13"/>
    <x v="0"/>
  </r>
  <r>
    <n v="0"/>
    <x v="2"/>
    <s v="Troupiansky, Mr. Moses Aaron"/>
    <x v="0"/>
    <n v="23"/>
    <n v="0"/>
    <n v="0"/>
    <n v="13"/>
    <x v="0"/>
  </r>
  <r>
    <n v="0"/>
    <x v="0"/>
    <s v="Williams, Mr. Leslie"/>
    <x v="0"/>
    <n v="28.5"/>
    <n v="0"/>
    <n v="0"/>
    <n v="16.100000000000001"/>
    <x v="0"/>
  </r>
  <r>
    <n v="0"/>
    <x v="0"/>
    <s v="Ford, Mrs. Edward (Margaret Ann Watson)"/>
    <x v="1"/>
    <n v="48"/>
    <n v="1"/>
    <n v="3"/>
    <n v="34.375"/>
    <x v="0"/>
  </r>
  <r>
    <n v="1"/>
    <x v="1"/>
    <s v="Lesurer, Mr. Gustave J"/>
    <x v="0"/>
    <n v="35"/>
    <n v="0"/>
    <n v="0"/>
    <n v="512.32920000000001"/>
    <x v="1"/>
  </r>
  <r>
    <n v="0"/>
    <x v="0"/>
    <s v="Ivanoff, Mr. Kanio"/>
    <x v="0"/>
    <m/>
    <n v="0"/>
    <n v="0"/>
    <n v="7.8958000000000004"/>
    <x v="0"/>
  </r>
  <r>
    <n v="0"/>
    <x v="0"/>
    <s v="Nankoff, Mr. Minko"/>
    <x v="0"/>
    <m/>
    <n v="0"/>
    <n v="0"/>
    <n v="7.8958000000000004"/>
    <x v="0"/>
  </r>
  <r>
    <n v="1"/>
    <x v="1"/>
    <s v="Hawksford, Mr. Walter James"/>
    <x v="0"/>
    <m/>
    <n v="0"/>
    <n v="0"/>
    <n v="30"/>
    <x v="0"/>
  </r>
  <r>
    <n v="0"/>
    <x v="1"/>
    <s v="Cavendish, Mr. Tyrell William"/>
    <x v="0"/>
    <n v="36"/>
    <n v="1"/>
    <n v="0"/>
    <n v="78.849999999999994"/>
    <x v="0"/>
  </r>
  <r>
    <n v="1"/>
    <x v="1"/>
    <s v="Ryerson, Miss. Susan Parker &quot;Suzette&quot;"/>
    <x v="1"/>
    <n v="21"/>
    <n v="2"/>
    <n v="2"/>
    <n v="262.375"/>
    <x v="1"/>
  </r>
  <r>
    <n v="0"/>
    <x v="0"/>
    <s v="McNamee, Mr. Neal"/>
    <x v="0"/>
    <n v="24"/>
    <n v="1"/>
    <n v="0"/>
    <n v="16.100000000000001"/>
    <x v="0"/>
  </r>
  <r>
    <n v="1"/>
    <x v="0"/>
    <s v="Stranden, Mr. Juho"/>
    <x v="0"/>
    <n v="31"/>
    <n v="0"/>
    <n v="0"/>
    <n v="7.9249999999999998"/>
    <x v="0"/>
  </r>
  <r>
    <n v="0"/>
    <x v="1"/>
    <s v="Crosby, Capt. Edward Gifford"/>
    <x v="0"/>
    <n v="70"/>
    <n v="1"/>
    <n v="1"/>
    <n v="71"/>
    <x v="0"/>
  </r>
  <r>
    <n v="0"/>
    <x v="0"/>
    <s v="Abbott, Mr. Rossmore Edward"/>
    <x v="0"/>
    <n v="16"/>
    <n v="1"/>
    <n v="1"/>
    <n v="20.25"/>
    <x v="0"/>
  </r>
  <r>
    <n v="1"/>
    <x v="2"/>
    <s v="Sinkkonen, Miss. Anna"/>
    <x v="1"/>
    <n v="30"/>
    <n v="0"/>
    <n v="0"/>
    <n v="13"/>
    <x v="0"/>
  </r>
  <r>
    <n v="0"/>
    <x v="1"/>
    <s v="Marvin, Mr. Daniel Warner"/>
    <x v="0"/>
    <n v="19"/>
    <n v="1"/>
    <n v="0"/>
    <n v="53.1"/>
    <x v="0"/>
  </r>
  <r>
    <n v="0"/>
    <x v="0"/>
    <s v="Connaghton, Mr. Michael"/>
    <x v="0"/>
    <n v="31"/>
    <n v="0"/>
    <n v="0"/>
    <n v="7.75"/>
    <x v="2"/>
  </r>
  <r>
    <n v="1"/>
    <x v="2"/>
    <s v="Wells, Miss. Joan"/>
    <x v="1"/>
    <n v="4"/>
    <n v="1"/>
    <n v="1"/>
    <n v="23"/>
    <x v="0"/>
  </r>
  <r>
    <n v="1"/>
    <x v="0"/>
    <s v="Moor, Master. Meier"/>
    <x v="0"/>
    <n v="6"/>
    <n v="0"/>
    <n v="1"/>
    <n v="12.475"/>
    <x v="0"/>
  </r>
  <r>
    <n v="0"/>
    <x v="0"/>
    <s v="Vande Velde, Mr. Johannes Joseph"/>
    <x v="0"/>
    <n v="33"/>
    <n v="0"/>
    <n v="0"/>
    <n v="9.5"/>
    <x v="0"/>
  </r>
  <r>
    <n v="0"/>
    <x v="0"/>
    <s v="Jonkoff, Mr. Lalio"/>
    <x v="0"/>
    <n v="23"/>
    <n v="0"/>
    <n v="0"/>
    <n v="7.8958000000000004"/>
    <x v="0"/>
  </r>
  <r>
    <n v="1"/>
    <x v="2"/>
    <s v="Herman, Mrs. Samuel (Jane Laver)"/>
    <x v="1"/>
    <n v="48"/>
    <n v="1"/>
    <n v="2"/>
    <n v="65"/>
    <x v="0"/>
  </r>
  <r>
    <n v="1"/>
    <x v="2"/>
    <s v="Hamalainen, Master. Viljo"/>
    <x v="0"/>
    <n v="0.67"/>
    <n v="1"/>
    <n v="1"/>
    <n v="14.5"/>
    <x v="0"/>
  </r>
  <r>
    <n v="0"/>
    <x v="0"/>
    <s v="Carlsson, Mr. August Sigfrid"/>
    <x v="0"/>
    <n v="28"/>
    <n v="0"/>
    <n v="0"/>
    <n v="7.7957999999999998"/>
    <x v="0"/>
  </r>
  <r>
    <n v="0"/>
    <x v="2"/>
    <s v="Bailey, Mr. Percy Andrew"/>
    <x v="0"/>
    <n v="18"/>
    <n v="0"/>
    <n v="0"/>
    <n v="11.5"/>
    <x v="0"/>
  </r>
  <r>
    <n v="0"/>
    <x v="0"/>
    <s v="Theobald, Mr. Thomas Leonard"/>
    <x v="0"/>
    <n v="34"/>
    <n v="0"/>
    <n v="0"/>
    <n v="8.0500000000000007"/>
    <x v="0"/>
  </r>
  <r>
    <n v="1"/>
    <x v="1"/>
    <s v="Rothes, the Countess. of (Lucy Noel Martha Dyer-Edwards)"/>
    <x v="1"/>
    <n v="33"/>
    <n v="0"/>
    <n v="0"/>
    <n v="86.5"/>
    <x v="0"/>
  </r>
  <r>
    <n v="0"/>
    <x v="0"/>
    <s v="Garfirth, Mr. John"/>
    <x v="0"/>
    <m/>
    <n v="0"/>
    <n v="0"/>
    <n v="14.5"/>
    <x v="0"/>
  </r>
  <r>
    <n v="0"/>
    <x v="0"/>
    <s v="Nirva, Mr. Iisakki Antino Aijo"/>
    <x v="0"/>
    <n v="41"/>
    <n v="0"/>
    <n v="0"/>
    <n v="7.125"/>
    <x v="0"/>
  </r>
  <r>
    <n v="1"/>
    <x v="0"/>
    <s v="Barah, Mr. Hanna Assi"/>
    <x v="0"/>
    <n v="20"/>
    <n v="0"/>
    <n v="0"/>
    <n v="7.2291999999999996"/>
    <x v="1"/>
  </r>
  <r>
    <n v="1"/>
    <x v="1"/>
    <s v="Carter, Mrs. William Ernest (Lucile Polk)"/>
    <x v="1"/>
    <n v="36"/>
    <n v="1"/>
    <n v="2"/>
    <n v="120"/>
    <x v="0"/>
  </r>
  <r>
    <n v="0"/>
    <x v="0"/>
    <s v="Eklund, Mr. Hans Linus"/>
    <x v="0"/>
    <n v="16"/>
    <n v="0"/>
    <n v="0"/>
    <n v="7.7750000000000004"/>
    <x v="0"/>
  </r>
  <r>
    <n v="1"/>
    <x v="1"/>
    <s v="Hogeboom, Mrs. John C (Anna Andrews)"/>
    <x v="1"/>
    <n v="51"/>
    <n v="1"/>
    <n v="0"/>
    <n v="77.958299999999994"/>
    <x v="0"/>
  </r>
  <r>
    <n v="0"/>
    <x v="1"/>
    <s v="Brewe, Dr. Arthur Jackson"/>
    <x v="0"/>
    <m/>
    <n v="0"/>
    <n v="0"/>
    <n v="39.6"/>
    <x v="1"/>
  </r>
  <r>
    <n v="0"/>
    <x v="0"/>
    <s v="Mangan, Miss. Mary"/>
    <x v="1"/>
    <n v="30.5"/>
    <n v="0"/>
    <n v="0"/>
    <n v="7.75"/>
    <x v="2"/>
  </r>
  <r>
    <n v="0"/>
    <x v="0"/>
    <s v="Moran, Mr. Daniel J"/>
    <x v="0"/>
    <m/>
    <n v="1"/>
    <n v="0"/>
    <n v="24.15"/>
    <x v="2"/>
  </r>
  <r>
    <n v="0"/>
    <x v="0"/>
    <s v="Gronnestad, Mr. Daniel Danielsen"/>
    <x v="0"/>
    <n v="32"/>
    <n v="0"/>
    <n v="0"/>
    <n v="8.3625000000000007"/>
    <x v="0"/>
  </r>
  <r>
    <n v="0"/>
    <x v="0"/>
    <s v="Lievens, Mr. Rene Aime"/>
    <x v="0"/>
    <n v="24"/>
    <n v="0"/>
    <n v="0"/>
    <n v="9.5"/>
    <x v="0"/>
  </r>
  <r>
    <n v="0"/>
    <x v="0"/>
    <s v="Jensen, Mr. Niels Peder"/>
    <x v="0"/>
    <n v="48"/>
    <n v="0"/>
    <n v="0"/>
    <n v="7.8541999999999996"/>
    <x v="0"/>
  </r>
  <r>
    <n v="0"/>
    <x v="2"/>
    <s v="Mack, Mrs. (Mary)"/>
    <x v="1"/>
    <n v="57"/>
    <n v="0"/>
    <n v="0"/>
    <n v="10.5"/>
    <x v="0"/>
  </r>
  <r>
    <n v="0"/>
    <x v="0"/>
    <s v="Elias, Mr. Dibo"/>
    <x v="0"/>
    <m/>
    <n v="0"/>
    <n v="0"/>
    <n v="7.2249999999999996"/>
    <x v="1"/>
  </r>
  <r>
    <n v="1"/>
    <x v="2"/>
    <s v="Hocking, Mrs. Elizabeth (Eliza Needs)"/>
    <x v="1"/>
    <n v="54"/>
    <n v="1"/>
    <n v="3"/>
    <n v="23"/>
    <x v="0"/>
  </r>
  <r>
    <n v="0"/>
    <x v="0"/>
    <s v="Myhrman, Mr. Pehr Fabian Oliver Malkolm"/>
    <x v="0"/>
    <n v="18"/>
    <n v="0"/>
    <n v="0"/>
    <n v="7.75"/>
    <x v="0"/>
  </r>
  <r>
    <n v="0"/>
    <x v="0"/>
    <s v="Tobin, Mr. Roger"/>
    <x v="0"/>
    <m/>
    <n v="0"/>
    <n v="0"/>
    <n v="7.75"/>
    <x v="2"/>
  </r>
  <r>
    <n v="1"/>
    <x v="0"/>
    <s v="Emanuel, Miss. Virginia Ethel"/>
    <x v="1"/>
    <n v="5"/>
    <n v="0"/>
    <n v="0"/>
    <n v="12.475"/>
    <x v="0"/>
  </r>
  <r>
    <n v="0"/>
    <x v="0"/>
    <s v="Kilgannon, Mr. Thomas J"/>
    <x v="0"/>
    <m/>
    <n v="0"/>
    <n v="0"/>
    <n v="7.7374999999999998"/>
    <x v="2"/>
  </r>
  <r>
    <n v="1"/>
    <x v="1"/>
    <s v="Robert, Mrs. Edward Scott (Elisabeth Walton McMillan)"/>
    <x v="1"/>
    <n v="43"/>
    <n v="0"/>
    <n v="1"/>
    <n v="211.33750000000001"/>
    <x v="0"/>
  </r>
  <r>
    <n v="1"/>
    <x v="0"/>
    <s v="Ayoub, Miss. Banoura"/>
    <x v="1"/>
    <n v="13"/>
    <n v="0"/>
    <n v="0"/>
    <n v="7.2291999999999996"/>
    <x v="1"/>
  </r>
  <r>
    <n v="1"/>
    <x v="1"/>
    <s v="Dick, Mrs. Albert Adrian (Vera Gillespie)"/>
    <x v="1"/>
    <n v="17"/>
    <n v="1"/>
    <n v="0"/>
    <n v="57"/>
    <x v="0"/>
  </r>
  <r>
    <n v="0"/>
    <x v="1"/>
    <s v="Long, Mr. Milton Clyde"/>
    <x v="0"/>
    <n v="29"/>
    <n v="0"/>
    <n v="0"/>
    <n v="30"/>
    <x v="0"/>
  </r>
  <r>
    <n v="0"/>
    <x v="0"/>
    <s v="Johnston, Mr. Andrew G"/>
    <x v="0"/>
    <m/>
    <n v="1"/>
    <n v="2"/>
    <n v="23.45"/>
    <x v="0"/>
  </r>
  <r>
    <n v="0"/>
    <x v="0"/>
    <s v="Ali, Mr. William"/>
    <x v="0"/>
    <n v="25"/>
    <n v="0"/>
    <n v="0"/>
    <n v="7.05"/>
    <x v="0"/>
  </r>
  <r>
    <n v="0"/>
    <x v="0"/>
    <s v="Harmer, Mr. Abraham (David Lishin)"/>
    <x v="0"/>
    <n v="25"/>
    <n v="0"/>
    <n v="0"/>
    <n v="7.25"/>
    <x v="0"/>
  </r>
  <r>
    <n v="1"/>
    <x v="0"/>
    <s v="Sjoblom, Miss. Anna Sofia"/>
    <x v="1"/>
    <n v="18"/>
    <n v="0"/>
    <n v="0"/>
    <n v="7.4958"/>
    <x v="0"/>
  </r>
  <r>
    <n v="0"/>
    <x v="0"/>
    <s v="Rice, Master. George Hugh"/>
    <x v="0"/>
    <n v="8"/>
    <n v="4"/>
    <n v="1"/>
    <n v="29.125"/>
    <x v="2"/>
  </r>
  <r>
    <n v="1"/>
    <x v="0"/>
    <s v="Dean, Master. Bertram Vere"/>
    <x v="0"/>
    <n v="1"/>
    <n v="1"/>
    <n v="2"/>
    <n v="20.574999999999999"/>
    <x v="0"/>
  </r>
  <r>
    <n v="0"/>
    <x v="1"/>
    <s v="Guggenheim, Mr. Benjamin"/>
    <x v="0"/>
    <n v="46"/>
    <n v="0"/>
    <n v="0"/>
    <n v="79.2"/>
    <x v="1"/>
  </r>
  <r>
    <n v="0"/>
    <x v="0"/>
    <s v="Keane, Mr. Andrew &quot;Andy&quot;"/>
    <x v="0"/>
    <m/>
    <n v="0"/>
    <n v="0"/>
    <n v="7.75"/>
    <x v="2"/>
  </r>
  <r>
    <n v="0"/>
    <x v="2"/>
    <s v="Gaskell, Mr. Alfred"/>
    <x v="0"/>
    <n v="16"/>
    <n v="0"/>
    <n v="0"/>
    <n v="26"/>
    <x v="0"/>
  </r>
  <r>
    <n v="0"/>
    <x v="0"/>
    <s v="Sage, Miss. Stella Anna"/>
    <x v="1"/>
    <m/>
    <n v="8"/>
    <n v="2"/>
    <n v="69.55"/>
    <x v="0"/>
  </r>
  <r>
    <n v="0"/>
    <x v="1"/>
    <s v="Hoyt, Mr. William Fisher"/>
    <x v="0"/>
    <m/>
    <n v="0"/>
    <n v="0"/>
    <n v="30.695799999999998"/>
    <x v="1"/>
  </r>
  <r>
    <n v="0"/>
    <x v="0"/>
    <s v="Dantcheff, Mr. Ristiu"/>
    <x v="0"/>
    <n v="25"/>
    <n v="0"/>
    <n v="0"/>
    <n v="7.8958000000000004"/>
    <x v="0"/>
  </r>
  <r>
    <n v="0"/>
    <x v="2"/>
    <s v="Otter, Mr. Richard"/>
    <x v="0"/>
    <n v="39"/>
    <n v="0"/>
    <n v="0"/>
    <n v="13"/>
    <x v="0"/>
  </r>
  <r>
    <n v="1"/>
    <x v="1"/>
    <s v="Leader, Dr. Alice (Farnham)"/>
    <x v="1"/>
    <n v="49"/>
    <n v="0"/>
    <n v="0"/>
    <n v="25.929200000000002"/>
    <x v="0"/>
  </r>
  <r>
    <n v="1"/>
    <x v="0"/>
    <s v="Osman, Mrs. Mara"/>
    <x v="1"/>
    <n v="31"/>
    <n v="0"/>
    <n v="0"/>
    <n v="8.6832999999999991"/>
    <x v="0"/>
  </r>
  <r>
    <n v="0"/>
    <x v="0"/>
    <s v="Ibrahim Shawah, Mr. Yousseff"/>
    <x v="0"/>
    <n v="30"/>
    <n v="0"/>
    <n v="0"/>
    <n v="7.2291999999999996"/>
    <x v="1"/>
  </r>
  <r>
    <n v="0"/>
    <x v="0"/>
    <s v="Van Impe, Mrs. Jean Baptiste (Rosalie Paula Govaert)"/>
    <x v="1"/>
    <n v="30"/>
    <n v="1"/>
    <n v="1"/>
    <n v="24.15"/>
    <x v="0"/>
  </r>
  <r>
    <n v="0"/>
    <x v="2"/>
    <s v="Ponesell, Mr. Martin"/>
    <x v="0"/>
    <n v="34"/>
    <n v="0"/>
    <n v="0"/>
    <n v="13"/>
    <x v="0"/>
  </r>
  <r>
    <n v="1"/>
    <x v="2"/>
    <s v="Collyer, Mrs. Harvey (Charlotte Annie Tate)"/>
    <x v="1"/>
    <n v="31"/>
    <n v="1"/>
    <n v="1"/>
    <n v="26.25"/>
    <x v="0"/>
  </r>
  <r>
    <n v="1"/>
    <x v="1"/>
    <s v="Carter, Master. William Thornton II"/>
    <x v="0"/>
    <n v="11"/>
    <n v="1"/>
    <n v="2"/>
    <n v="120"/>
    <x v="0"/>
  </r>
  <r>
    <n v="1"/>
    <x v="0"/>
    <s v="Thomas, Master. Assad Alexander"/>
    <x v="0"/>
    <n v="0.42"/>
    <n v="0"/>
    <n v="1"/>
    <n v="8.5167000000000002"/>
    <x v="1"/>
  </r>
  <r>
    <n v="1"/>
    <x v="0"/>
    <s v="Hedman, Mr. Oskar Arvid"/>
    <x v="0"/>
    <n v="27"/>
    <n v="0"/>
    <n v="0"/>
    <n v="6.9749999999999996"/>
    <x v="0"/>
  </r>
  <r>
    <n v="0"/>
    <x v="0"/>
    <s v="Johansson, Mr. Karl Johan"/>
    <x v="0"/>
    <n v="31"/>
    <n v="0"/>
    <n v="0"/>
    <n v="7.7750000000000004"/>
    <x v="0"/>
  </r>
  <r>
    <n v="0"/>
    <x v="1"/>
    <s v="Andrews, Mr. Thomas Jr"/>
    <x v="0"/>
    <n v="39"/>
    <n v="0"/>
    <n v="0"/>
    <n v="0"/>
    <x v="0"/>
  </r>
  <r>
    <n v="0"/>
    <x v="0"/>
    <s v="Pettersson, Miss. Ellen Natalia"/>
    <x v="1"/>
    <n v="18"/>
    <n v="0"/>
    <n v="0"/>
    <n v="7.7750000000000004"/>
    <x v="0"/>
  </r>
  <r>
    <n v="0"/>
    <x v="2"/>
    <s v="Meyer, Mr. August"/>
    <x v="0"/>
    <n v="39"/>
    <n v="0"/>
    <n v="0"/>
    <n v="13"/>
    <x v="0"/>
  </r>
  <r>
    <n v="1"/>
    <x v="1"/>
    <s v="Chambers, Mrs. Norman Campbell (Bertha Griggs)"/>
    <x v="1"/>
    <n v="33"/>
    <n v="1"/>
    <n v="0"/>
    <n v="53.1"/>
    <x v="0"/>
  </r>
  <r>
    <n v="0"/>
    <x v="0"/>
    <s v="Alexander, Mr. William"/>
    <x v="0"/>
    <n v="26"/>
    <n v="0"/>
    <n v="0"/>
    <n v="7.8875000000000002"/>
    <x v="0"/>
  </r>
  <r>
    <n v="0"/>
    <x v="0"/>
    <s v="Lester, Mr. James"/>
    <x v="0"/>
    <n v="39"/>
    <n v="0"/>
    <n v="0"/>
    <n v="24.15"/>
    <x v="0"/>
  </r>
  <r>
    <n v="0"/>
    <x v="2"/>
    <s v="Slemen, Mr. Richard James"/>
    <x v="0"/>
    <n v="35"/>
    <n v="0"/>
    <n v="0"/>
    <n v="10.5"/>
    <x v="0"/>
  </r>
  <r>
    <n v="0"/>
    <x v="0"/>
    <s v="Andersson, Miss. Ebba Iris Alfrida"/>
    <x v="1"/>
    <n v="6"/>
    <n v="4"/>
    <n v="2"/>
    <n v="31.274999999999999"/>
    <x v="0"/>
  </r>
  <r>
    <n v="0"/>
    <x v="0"/>
    <s v="Tomlin, Mr. Ernest Portage"/>
    <x v="0"/>
    <n v="30.5"/>
    <n v="0"/>
    <n v="0"/>
    <n v="8.0500000000000007"/>
    <x v="0"/>
  </r>
  <r>
    <n v="0"/>
    <x v="1"/>
    <s v="Fry, Mr. Richard"/>
    <x v="0"/>
    <m/>
    <n v="0"/>
    <n v="0"/>
    <n v="0"/>
    <x v="0"/>
  </r>
  <r>
    <n v="0"/>
    <x v="0"/>
    <s v="Heininen, Miss. Wendla Maria"/>
    <x v="1"/>
    <n v="23"/>
    <n v="0"/>
    <n v="0"/>
    <n v="7.9249999999999998"/>
    <x v="0"/>
  </r>
  <r>
    <n v="0"/>
    <x v="2"/>
    <s v="Mallet, Mr. Albert"/>
    <x v="0"/>
    <n v="31"/>
    <n v="1"/>
    <n v="1"/>
    <n v="37.004199999999997"/>
    <x v="1"/>
  </r>
  <r>
    <n v="0"/>
    <x v="0"/>
    <s v="Holm, Mr. John Fredrik Alexander"/>
    <x v="0"/>
    <n v="43"/>
    <n v="0"/>
    <n v="0"/>
    <n v="6.45"/>
    <x v="0"/>
  </r>
  <r>
    <n v="0"/>
    <x v="0"/>
    <s v="Skoog, Master. Karl Thorsten"/>
    <x v="0"/>
    <n v="10"/>
    <n v="3"/>
    <n v="2"/>
    <n v="27.9"/>
    <x v="0"/>
  </r>
  <r>
    <n v="1"/>
    <x v="1"/>
    <s v="Hays, Mrs. Charles Melville (Clara Jennings Gregg)"/>
    <x v="1"/>
    <n v="52"/>
    <n v="1"/>
    <n v="1"/>
    <n v="93.5"/>
    <x v="0"/>
  </r>
  <r>
    <n v="1"/>
    <x v="0"/>
    <s v="Lulic, Mr. Nikola"/>
    <x v="0"/>
    <n v="27"/>
    <n v="0"/>
    <n v="0"/>
    <n v="8.6624999999999996"/>
    <x v="0"/>
  </r>
  <r>
    <n v="0"/>
    <x v="1"/>
    <s v="Reuchlin, Jonkheer. John George"/>
    <x v="0"/>
    <n v="38"/>
    <n v="0"/>
    <n v="0"/>
    <n v="0"/>
    <x v="0"/>
  </r>
  <r>
    <n v="1"/>
    <x v="0"/>
    <s v="Moor, Mrs. (Beila)"/>
    <x v="1"/>
    <n v="27"/>
    <n v="0"/>
    <n v="1"/>
    <n v="12.475"/>
    <x v="0"/>
  </r>
  <r>
    <n v="0"/>
    <x v="0"/>
    <s v="Panula, Master. Urho Abraham"/>
    <x v="0"/>
    <n v="2"/>
    <n v="4"/>
    <n v="1"/>
    <n v="39.6875"/>
    <x v="0"/>
  </r>
  <r>
    <n v="0"/>
    <x v="0"/>
    <s v="Flynn, Mr. John"/>
    <x v="0"/>
    <m/>
    <n v="0"/>
    <n v="0"/>
    <n v="6.95"/>
    <x v="2"/>
  </r>
  <r>
    <n v="0"/>
    <x v="0"/>
    <s v="Lam, Mr. Len"/>
    <x v="0"/>
    <m/>
    <n v="0"/>
    <n v="0"/>
    <n v="56.495800000000003"/>
    <x v="0"/>
  </r>
  <r>
    <n v="1"/>
    <x v="2"/>
    <s v="Mallet, Master. Andre"/>
    <x v="0"/>
    <n v="1"/>
    <n v="0"/>
    <n v="2"/>
    <n v="37.004199999999997"/>
    <x v="1"/>
  </r>
  <r>
    <n v="1"/>
    <x v="0"/>
    <s v="McCormack, Mr. Thomas Joseph"/>
    <x v="0"/>
    <m/>
    <n v="0"/>
    <n v="0"/>
    <n v="7.75"/>
    <x v="2"/>
  </r>
  <r>
    <n v="1"/>
    <x v="1"/>
    <s v="Stone, Mrs. George Nelson (Martha Evelyn)"/>
    <x v="1"/>
    <n v="62"/>
    <n v="0"/>
    <n v="0"/>
    <n v="80"/>
    <x v="3"/>
  </r>
  <r>
    <n v="1"/>
    <x v="0"/>
    <s v="Yasbeck, Mrs. Antoni (Selini Alexander)"/>
    <x v="1"/>
    <n v="15"/>
    <n v="1"/>
    <n v="0"/>
    <n v="14.4542"/>
    <x v="1"/>
  </r>
  <r>
    <n v="1"/>
    <x v="2"/>
    <s v="Richards, Master. George Sibley"/>
    <x v="0"/>
    <n v="0.83"/>
    <n v="1"/>
    <n v="1"/>
    <n v="18.75"/>
    <x v="0"/>
  </r>
  <r>
    <n v="0"/>
    <x v="0"/>
    <s v="Saad, Mr. Amin"/>
    <x v="0"/>
    <m/>
    <n v="0"/>
    <n v="0"/>
    <n v="7.2291999999999996"/>
    <x v="1"/>
  </r>
  <r>
    <n v="0"/>
    <x v="0"/>
    <s v="Augustsson, Mr. Albert"/>
    <x v="0"/>
    <n v="23"/>
    <n v="0"/>
    <n v="0"/>
    <n v="7.8541999999999996"/>
    <x v="0"/>
  </r>
  <r>
    <n v="0"/>
    <x v="0"/>
    <s v="Allum, Mr. Owen George"/>
    <x v="0"/>
    <n v="18"/>
    <n v="0"/>
    <n v="0"/>
    <n v="8.3000000000000007"/>
    <x v="0"/>
  </r>
  <r>
    <n v="1"/>
    <x v="1"/>
    <s v="Compton, Miss. Sara Rebecca"/>
    <x v="1"/>
    <n v="39"/>
    <n v="1"/>
    <n v="1"/>
    <n v="83.158299999999997"/>
    <x v="1"/>
  </r>
  <r>
    <n v="0"/>
    <x v="0"/>
    <s v="Pasic, Mr. Jakob"/>
    <x v="0"/>
    <n v="21"/>
    <n v="0"/>
    <n v="0"/>
    <n v="8.6624999999999996"/>
    <x v="0"/>
  </r>
  <r>
    <n v="0"/>
    <x v="0"/>
    <s v="Sirota, Mr. Maurice"/>
    <x v="0"/>
    <m/>
    <n v="0"/>
    <n v="0"/>
    <n v="8.0500000000000007"/>
    <x v="0"/>
  </r>
  <r>
    <n v="1"/>
    <x v="0"/>
    <s v="Chip, Mr. Chang"/>
    <x v="0"/>
    <n v="32"/>
    <n v="0"/>
    <n v="0"/>
    <n v="56.495800000000003"/>
    <x v="0"/>
  </r>
  <r>
    <n v="1"/>
    <x v="1"/>
    <s v="Marechal, Mr. Pierre"/>
    <x v="0"/>
    <m/>
    <n v="0"/>
    <n v="0"/>
    <n v="29.7"/>
    <x v="1"/>
  </r>
  <r>
    <n v="0"/>
    <x v="0"/>
    <s v="Alhomaki, Mr. Ilmari Rudolf"/>
    <x v="0"/>
    <n v="20"/>
    <n v="0"/>
    <n v="0"/>
    <n v="7.9249999999999998"/>
    <x v="0"/>
  </r>
  <r>
    <n v="0"/>
    <x v="2"/>
    <s v="Mudd, Mr. Thomas Charles"/>
    <x v="0"/>
    <n v="16"/>
    <n v="0"/>
    <n v="0"/>
    <n v="10.5"/>
    <x v="0"/>
  </r>
  <r>
    <n v="1"/>
    <x v="1"/>
    <s v="Serepeca, Miss. Augusta"/>
    <x v="1"/>
    <n v="30"/>
    <n v="0"/>
    <n v="0"/>
    <n v="31"/>
    <x v="1"/>
  </r>
  <r>
    <n v="0"/>
    <x v="0"/>
    <s v="Lemberopolous, Mr. Peter L"/>
    <x v="0"/>
    <n v="34.5"/>
    <n v="0"/>
    <n v="0"/>
    <n v="6.4375"/>
    <x v="1"/>
  </r>
  <r>
    <n v="0"/>
    <x v="0"/>
    <s v="Culumovic, Mr. Jeso"/>
    <x v="0"/>
    <n v="17"/>
    <n v="0"/>
    <n v="0"/>
    <n v="8.6624999999999996"/>
    <x v="0"/>
  </r>
  <r>
    <n v="0"/>
    <x v="0"/>
    <s v="Abbing, Mr. Anthony"/>
    <x v="0"/>
    <n v="42"/>
    <n v="0"/>
    <n v="0"/>
    <n v="7.55"/>
    <x v="0"/>
  </r>
  <r>
    <n v="0"/>
    <x v="0"/>
    <s v="Sage, Mr. Douglas Bullen"/>
    <x v="0"/>
    <m/>
    <n v="8"/>
    <n v="2"/>
    <n v="69.55"/>
    <x v="0"/>
  </r>
  <r>
    <n v="0"/>
    <x v="0"/>
    <s v="Markoff, Mr. Marin"/>
    <x v="0"/>
    <n v="35"/>
    <n v="0"/>
    <n v="0"/>
    <n v="7.8958000000000004"/>
    <x v="1"/>
  </r>
  <r>
    <n v="0"/>
    <x v="2"/>
    <s v="Harper, Rev. John"/>
    <x v="0"/>
    <n v="28"/>
    <n v="0"/>
    <n v="1"/>
    <n v="33"/>
    <x v="0"/>
  </r>
  <r>
    <n v="1"/>
    <x v="1"/>
    <s v="Goldenberg, Mrs. Samuel L (Edwiga Grabowska)"/>
    <x v="1"/>
    <m/>
    <n v="1"/>
    <n v="0"/>
    <n v="89.104200000000006"/>
    <x v="1"/>
  </r>
  <r>
    <n v="0"/>
    <x v="0"/>
    <s v="Andersson, Master. Sigvard Harald Elias"/>
    <x v="0"/>
    <n v="4"/>
    <n v="4"/>
    <n v="2"/>
    <n v="31.274999999999999"/>
    <x v="0"/>
  </r>
  <r>
    <n v="0"/>
    <x v="0"/>
    <s v="Svensson, Mr. Johan"/>
    <x v="0"/>
    <n v="74"/>
    <n v="0"/>
    <n v="0"/>
    <n v="7.7750000000000004"/>
    <x v="0"/>
  </r>
  <r>
    <n v="0"/>
    <x v="0"/>
    <s v="Boulos, Miss. Nourelain"/>
    <x v="1"/>
    <n v="9"/>
    <n v="1"/>
    <n v="1"/>
    <n v="15.245799999999999"/>
    <x v="1"/>
  </r>
  <r>
    <n v="1"/>
    <x v="1"/>
    <s v="Lines, Miss. Mary Conover"/>
    <x v="1"/>
    <n v="16"/>
    <n v="0"/>
    <n v="1"/>
    <n v="39.4"/>
    <x v="0"/>
  </r>
  <r>
    <n v="0"/>
    <x v="2"/>
    <s v="Carter, Mrs. Ernest Courtenay (Lilian Hughes)"/>
    <x v="1"/>
    <n v="44"/>
    <n v="1"/>
    <n v="0"/>
    <n v="26"/>
    <x v="0"/>
  </r>
  <r>
    <n v="1"/>
    <x v="0"/>
    <s v="Aks, Mrs. Sam (Leah Rosen)"/>
    <x v="1"/>
    <n v="18"/>
    <n v="0"/>
    <n v="1"/>
    <n v="9.35"/>
    <x v="0"/>
  </r>
  <r>
    <n v="1"/>
    <x v="1"/>
    <s v="Wick, Mrs. George Dennick (Mary Hitchcock)"/>
    <x v="1"/>
    <n v="45"/>
    <n v="1"/>
    <n v="1"/>
    <n v="164.86670000000001"/>
    <x v="0"/>
  </r>
  <r>
    <n v="1"/>
    <x v="1"/>
    <s v="Daly, Mr. Peter Denis "/>
    <x v="0"/>
    <n v="51"/>
    <n v="0"/>
    <n v="0"/>
    <n v="26.55"/>
    <x v="0"/>
  </r>
  <r>
    <n v="1"/>
    <x v="0"/>
    <s v="Baclini, Mrs. Solomon (Latifa Qurban)"/>
    <x v="1"/>
    <n v="24"/>
    <n v="0"/>
    <n v="3"/>
    <n v="19.258299999999998"/>
    <x v="1"/>
  </r>
  <r>
    <n v="0"/>
    <x v="0"/>
    <s v="Razi, Mr. Raihed"/>
    <x v="0"/>
    <m/>
    <n v="0"/>
    <n v="0"/>
    <n v="7.2291999999999996"/>
    <x v="1"/>
  </r>
  <r>
    <n v="0"/>
    <x v="0"/>
    <s v="Hansen, Mr. Claus Peter"/>
    <x v="0"/>
    <n v="41"/>
    <n v="2"/>
    <n v="0"/>
    <n v="14.1083"/>
    <x v="0"/>
  </r>
  <r>
    <n v="0"/>
    <x v="2"/>
    <s v="Giles, Mr. Frederick Edward"/>
    <x v="0"/>
    <n v="21"/>
    <n v="1"/>
    <n v="0"/>
    <n v="11.5"/>
    <x v="0"/>
  </r>
  <r>
    <n v="1"/>
    <x v="1"/>
    <s v="Swift, Mrs. Frederick Joel (Margaret Welles Barron)"/>
    <x v="1"/>
    <n v="48"/>
    <n v="0"/>
    <n v="0"/>
    <n v="25.929200000000002"/>
    <x v="0"/>
  </r>
  <r>
    <n v="0"/>
    <x v="0"/>
    <s v="Sage, Miss. Dorothy Edith &quot;Dolly&quot;"/>
    <x v="1"/>
    <m/>
    <n v="8"/>
    <n v="2"/>
    <n v="69.55"/>
    <x v="0"/>
  </r>
  <r>
    <n v="0"/>
    <x v="2"/>
    <s v="Gill, Mr. John William"/>
    <x v="0"/>
    <n v="24"/>
    <n v="0"/>
    <n v="0"/>
    <n v="13"/>
    <x v="0"/>
  </r>
  <r>
    <n v="1"/>
    <x v="2"/>
    <s v="Bystrom, Mrs. (Karolina)"/>
    <x v="1"/>
    <n v="42"/>
    <n v="0"/>
    <n v="0"/>
    <n v="13"/>
    <x v="0"/>
  </r>
  <r>
    <n v="1"/>
    <x v="2"/>
    <s v="Duran y More, Miss. Asuncion"/>
    <x v="1"/>
    <n v="27"/>
    <n v="1"/>
    <n v="0"/>
    <n v="13.8583"/>
    <x v="1"/>
  </r>
  <r>
    <n v="0"/>
    <x v="1"/>
    <s v="Roebling, Mr. Washington Augustus II"/>
    <x v="0"/>
    <n v="31"/>
    <n v="0"/>
    <n v="0"/>
    <n v="50.495800000000003"/>
    <x v="0"/>
  </r>
  <r>
    <n v="0"/>
    <x v="0"/>
    <s v="van Melkebeke, Mr. Philemon"/>
    <x v="0"/>
    <m/>
    <n v="0"/>
    <n v="0"/>
    <n v="9.5"/>
    <x v="0"/>
  </r>
  <r>
    <n v="1"/>
    <x v="0"/>
    <s v="Johnson, Master. Harold Theodor"/>
    <x v="0"/>
    <n v="4"/>
    <n v="1"/>
    <n v="1"/>
    <n v="11.1333"/>
    <x v="0"/>
  </r>
  <r>
    <n v="0"/>
    <x v="0"/>
    <s v="Balkic, Mr. Cerin"/>
    <x v="0"/>
    <n v="26"/>
    <n v="0"/>
    <n v="0"/>
    <n v="7.8958000000000004"/>
    <x v="0"/>
  </r>
  <r>
    <n v="1"/>
    <x v="1"/>
    <s v="Beckwith, Mrs. Richard Leonard (Sallie Monypeny)"/>
    <x v="1"/>
    <n v="47"/>
    <n v="1"/>
    <n v="1"/>
    <n v="52.554200000000002"/>
    <x v="0"/>
  </r>
  <r>
    <n v="0"/>
    <x v="1"/>
    <s v="Carlsson, Mr. Frans Olof"/>
    <x v="0"/>
    <n v="33"/>
    <n v="0"/>
    <n v="0"/>
    <n v="5"/>
    <x v="0"/>
  </r>
  <r>
    <n v="0"/>
    <x v="0"/>
    <s v="Vander Cruyssen, Mr. Victor"/>
    <x v="0"/>
    <n v="47"/>
    <n v="0"/>
    <n v="0"/>
    <n v="9"/>
    <x v="0"/>
  </r>
  <r>
    <n v="1"/>
    <x v="2"/>
    <s v="Abelson, Mrs. Samuel (Hannah Wizosky)"/>
    <x v="1"/>
    <n v="28"/>
    <n v="1"/>
    <n v="0"/>
    <n v="24"/>
    <x v="1"/>
  </r>
  <r>
    <n v="1"/>
    <x v="0"/>
    <s v="Najib, Miss. Adele Kiamie &quot;Jane&quot;"/>
    <x v="1"/>
    <n v="15"/>
    <n v="0"/>
    <n v="0"/>
    <n v="7.2249999999999996"/>
    <x v="1"/>
  </r>
  <r>
    <n v="0"/>
    <x v="0"/>
    <s v="Gustafsson, Mr. Alfred Ossian"/>
    <x v="0"/>
    <n v="20"/>
    <n v="0"/>
    <n v="0"/>
    <n v="9.8458000000000006"/>
    <x v="0"/>
  </r>
  <r>
    <n v="0"/>
    <x v="0"/>
    <s v="Petroff, Mr. Nedelio"/>
    <x v="0"/>
    <n v="19"/>
    <n v="0"/>
    <n v="0"/>
    <n v="7.8958000000000004"/>
    <x v="0"/>
  </r>
  <r>
    <n v="0"/>
    <x v="0"/>
    <s v="Laleff, Mr. Kristo"/>
    <x v="0"/>
    <m/>
    <n v="0"/>
    <n v="0"/>
    <n v="7.8958000000000004"/>
    <x v="0"/>
  </r>
  <r>
    <n v="1"/>
    <x v="1"/>
    <s v="Potter, Mrs. Thomas Jr (Lily Alexenia Wilson)"/>
    <x v="1"/>
    <n v="56"/>
    <n v="0"/>
    <n v="1"/>
    <n v="83.158299999999997"/>
    <x v="1"/>
  </r>
  <r>
    <n v="1"/>
    <x v="2"/>
    <s v="Shelley, Mrs. William (Imanita Parrish Hall)"/>
    <x v="1"/>
    <n v="25"/>
    <n v="0"/>
    <n v="1"/>
    <n v="26"/>
    <x v="0"/>
  </r>
  <r>
    <n v="0"/>
    <x v="0"/>
    <s v="Markun, Mr. Johann"/>
    <x v="0"/>
    <n v="33"/>
    <n v="0"/>
    <n v="0"/>
    <n v="7.8958000000000004"/>
    <x v="0"/>
  </r>
  <r>
    <n v="0"/>
    <x v="0"/>
    <s v="Dahlberg, Miss. Gerda Ulrika"/>
    <x v="1"/>
    <n v="22"/>
    <n v="0"/>
    <n v="0"/>
    <n v="10.5167"/>
    <x v="0"/>
  </r>
  <r>
    <n v="0"/>
    <x v="2"/>
    <s v="Banfield, Mr. Frederick James"/>
    <x v="0"/>
    <n v="28"/>
    <n v="0"/>
    <n v="0"/>
    <n v="10.5"/>
    <x v="0"/>
  </r>
  <r>
    <n v="0"/>
    <x v="0"/>
    <s v="Sutehall, Mr. Henry Jr"/>
    <x v="0"/>
    <n v="25"/>
    <n v="0"/>
    <n v="0"/>
    <n v="7.05"/>
    <x v="0"/>
  </r>
  <r>
    <n v="0"/>
    <x v="0"/>
    <s v="Rice, Mrs. William (Margaret Norton)"/>
    <x v="1"/>
    <n v="39"/>
    <n v="0"/>
    <n v="5"/>
    <n v="29.125"/>
    <x v="2"/>
  </r>
  <r>
    <n v="0"/>
    <x v="2"/>
    <s v="Montvila, Rev. Juozas"/>
    <x v="0"/>
    <n v="27"/>
    <n v="0"/>
    <n v="0"/>
    <n v="13"/>
    <x v="0"/>
  </r>
  <r>
    <n v="1"/>
    <x v="1"/>
    <s v="Graham, Miss. Margaret Edith"/>
    <x v="1"/>
    <n v="19"/>
    <n v="0"/>
    <n v="0"/>
    <n v="30"/>
    <x v="0"/>
  </r>
  <r>
    <n v="0"/>
    <x v="0"/>
    <s v="Johnston, Miss. Catherine Helen &quot;Carrie&quot;"/>
    <x v="1"/>
    <m/>
    <n v="1"/>
    <n v="2"/>
    <n v="23.45"/>
    <x v="0"/>
  </r>
  <r>
    <n v="1"/>
    <x v="1"/>
    <s v="Behr, Mr. Karl Howell"/>
    <x v="0"/>
    <n v="26"/>
    <n v="0"/>
    <n v="0"/>
    <n v="30"/>
    <x v="1"/>
  </r>
  <r>
    <n v="0"/>
    <x v="0"/>
    <s v="Dooley, Mr. Patrick"/>
    <x v="0"/>
    <n v="32"/>
    <n v="0"/>
    <n v="0"/>
    <n v="7.75"/>
    <x v="2"/>
  </r>
  <r>
    <m/>
    <x v="3"/>
    <m/>
    <x v="2"/>
    <m/>
    <m/>
    <m/>
    <m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2">
  <r>
    <x v="0"/>
    <x v="0"/>
    <s v="Braund, Mr. Owen Harris"/>
    <x v="0"/>
    <n v="22"/>
    <n v="1"/>
    <n v="0"/>
    <n v="7.25"/>
    <x v="0"/>
    <s v="Adult"/>
    <s v="Low"/>
    <n v="2"/>
  </r>
  <r>
    <x v="1"/>
    <x v="1"/>
    <s v="Cumings, Mrs. John Bradley (Florence Briggs Thayer)"/>
    <x v="1"/>
    <n v="38"/>
    <n v="1"/>
    <n v="0"/>
    <n v="71.283299999999997"/>
    <x v="1"/>
    <s v="Adult"/>
    <s v="High"/>
    <n v="2"/>
  </r>
  <r>
    <x v="1"/>
    <x v="0"/>
    <s v="Heikkinen, Miss. Laina"/>
    <x v="1"/>
    <n v="26"/>
    <n v="0"/>
    <n v="0"/>
    <n v="7.9249999999999998"/>
    <x v="0"/>
    <s v="Adult"/>
    <s v="Low"/>
    <n v="1"/>
  </r>
  <r>
    <x v="1"/>
    <x v="1"/>
    <s v="Futrelle, Mrs. Jacques Heath (Lily May Peel)"/>
    <x v="1"/>
    <n v="35"/>
    <n v="1"/>
    <n v="0"/>
    <n v="53.1"/>
    <x v="0"/>
    <s v="Adult"/>
    <s v="High"/>
    <n v="2"/>
  </r>
  <r>
    <x v="0"/>
    <x v="0"/>
    <s v="Allen, Mr. William Henry"/>
    <x v="0"/>
    <n v="35"/>
    <n v="0"/>
    <n v="0"/>
    <n v="8.0500000000000007"/>
    <x v="0"/>
    <s v="Adult"/>
    <s v="Low"/>
    <n v="1"/>
  </r>
  <r>
    <x v="0"/>
    <x v="0"/>
    <s v="Moran, Mr. James"/>
    <x v="0"/>
    <m/>
    <n v="0"/>
    <n v="0"/>
    <n v="8.4582999999999995"/>
    <x v="2"/>
    <s v="Child"/>
    <s v="Low"/>
    <n v="1"/>
  </r>
  <r>
    <x v="0"/>
    <x v="1"/>
    <s v="McCarthy, Mr. Timothy J"/>
    <x v="0"/>
    <n v="54"/>
    <n v="0"/>
    <n v="0"/>
    <n v="51.862499999999997"/>
    <x v="0"/>
    <s v="Adult"/>
    <s v="High"/>
    <n v="1"/>
  </r>
  <r>
    <x v="0"/>
    <x v="0"/>
    <s v="Palsson, Master. Gosta Leonard"/>
    <x v="0"/>
    <n v="2"/>
    <n v="3"/>
    <n v="1"/>
    <n v="21.074999999999999"/>
    <x v="0"/>
    <s v="Child"/>
    <s v="Low"/>
    <n v="5"/>
  </r>
  <r>
    <x v="1"/>
    <x v="0"/>
    <s v="Johnson, Mrs. Oscar W (Elisabeth Vilhelmina Berg)"/>
    <x v="1"/>
    <n v="27"/>
    <n v="0"/>
    <n v="2"/>
    <n v="11.1333"/>
    <x v="0"/>
    <s v="Adult"/>
    <s v="Low"/>
    <n v="3"/>
  </r>
  <r>
    <x v="1"/>
    <x v="2"/>
    <s v="Nasser, Mrs. Nicholas (Adele Achem)"/>
    <x v="1"/>
    <n v="14"/>
    <n v="1"/>
    <n v="0"/>
    <n v="30.070799999999998"/>
    <x v="1"/>
    <s v="Child"/>
    <s v="Low"/>
    <n v="2"/>
  </r>
  <r>
    <x v="1"/>
    <x v="0"/>
    <s v="Sandstrom, Miss. Marguerite Rut"/>
    <x v="1"/>
    <n v="4"/>
    <n v="1"/>
    <n v="1"/>
    <n v="16.7"/>
    <x v="0"/>
    <s v="Child"/>
    <s v="Low"/>
    <n v="3"/>
  </r>
  <r>
    <x v="1"/>
    <x v="1"/>
    <s v="Bonnell, Miss. Elizabeth"/>
    <x v="1"/>
    <n v="58"/>
    <n v="0"/>
    <n v="0"/>
    <n v="26.55"/>
    <x v="0"/>
    <s v="Adult"/>
    <s v="Low"/>
    <n v="1"/>
  </r>
  <r>
    <x v="0"/>
    <x v="0"/>
    <s v="Saundercock, Mr. William Henry"/>
    <x v="0"/>
    <n v="20"/>
    <n v="0"/>
    <n v="0"/>
    <n v="8.0500000000000007"/>
    <x v="0"/>
    <s v="Adult"/>
    <s v="Low"/>
    <n v="1"/>
  </r>
  <r>
    <x v="0"/>
    <x v="0"/>
    <s v="Andersson, Mr. Anders Johan"/>
    <x v="0"/>
    <n v="39"/>
    <n v="1"/>
    <n v="5"/>
    <n v="31.274999999999999"/>
    <x v="0"/>
    <s v="Adult"/>
    <s v="Low"/>
    <n v="7"/>
  </r>
  <r>
    <x v="0"/>
    <x v="0"/>
    <s v="Vestrom, Miss. Hulda Amanda Adolfina"/>
    <x v="1"/>
    <n v="14"/>
    <n v="0"/>
    <n v="0"/>
    <n v="7.8541999999999996"/>
    <x v="0"/>
    <s v="Child"/>
    <s v="Low"/>
    <n v="1"/>
  </r>
  <r>
    <x v="1"/>
    <x v="2"/>
    <s v="Hewlett, Mrs. (Mary D Kingcome) "/>
    <x v="1"/>
    <n v="55"/>
    <n v="0"/>
    <n v="0"/>
    <n v="16"/>
    <x v="0"/>
    <s v="Adult"/>
    <s v="Low"/>
    <n v="1"/>
  </r>
  <r>
    <x v="0"/>
    <x v="0"/>
    <s v="Rice, Master. Eugene"/>
    <x v="0"/>
    <n v="2"/>
    <n v="4"/>
    <n v="1"/>
    <n v="29.125"/>
    <x v="2"/>
    <s v="Child"/>
    <s v="Low"/>
    <n v="6"/>
  </r>
  <r>
    <x v="1"/>
    <x v="2"/>
    <s v="Williams, Mr. Charles Eugene"/>
    <x v="0"/>
    <m/>
    <n v="0"/>
    <n v="0"/>
    <n v="13"/>
    <x v="0"/>
    <s v="Child"/>
    <s v="Low"/>
    <n v="1"/>
  </r>
  <r>
    <x v="0"/>
    <x v="0"/>
    <s v="Vander Planke, Mrs. Julius (Emelia Maria Vandemoortele)"/>
    <x v="1"/>
    <n v="31"/>
    <n v="1"/>
    <n v="0"/>
    <n v="18"/>
    <x v="0"/>
    <s v="Adult"/>
    <s v="Low"/>
    <n v="2"/>
  </r>
  <r>
    <x v="1"/>
    <x v="0"/>
    <s v="Masselmani, Mrs. Fatima"/>
    <x v="1"/>
    <m/>
    <n v="0"/>
    <n v="0"/>
    <n v="7.2249999999999996"/>
    <x v="1"/>
    <s v="Child"/>
    <s v="Low"/>
    <n v="1"/>
  </r>
  <r>
    <x v="0"/>
    <x v="2"/>
    <s v="Fynney, Mr. Joseph J"/>
    <x v="0"/>
    <n v="35"/>
    <n v="0"/>
    <n v="0"/>
    <n v="26"/>
    <x v="0"/>
    <s v="Adult"/>
    <s v="Low"/>
    <n v="1"/>
  </r>
  <r>
    <x v="1"/>
    <x v="2"/>
    <s v="Beesley, Mr. Lawrence"/>
    <x v="0"/>
    <n v="34"/>
    <n v="0"/>
    <n v="0"/>
    <n v="13"/>
    <x v="0"/>
    <s v="Adult"/>
    <s v="Low"/>
    <n v="1"/>
  </r>
  <r>
    <x v="1"/>
    <x v="0"/>
    <s v="McGowan, Miss. Anna &quot;Annie&quot;"/>
    <x v="1"/>
    <n v="15"/>
    <n v="0"/>
    <n v="0"/>
    <n v="8.0291999999999994"/>
    <x v="2"/>
    <s v="Child"/>
    <s v="Low"/>
    <n v="1"/>
  </r>
  <r>
    <x v="1"/>
    <x v="1"/>
    <s v="Sloper, Mr. William Thompson"/>
    <x v="0"/>
    <n v="28"/>
    <n v="0"/>
    <n v="0"/>
    <n v="35.5"/>
    <x v="0"/>
    <s v="Adult"/>
    <s v="Low"/>
    <n v="1"/>
  </r>
  <r>
    <x v="0"/>
    <x v="0"/>
    <s v="Palsson, Miss. Torborg Danira"/>
    <x v="1"/>
    <n v="8"/>
    <n v="3"/>
    <n v="1"/>
    <n v="21.074999999999999"/>
    <x v="0"/>
    <s v="Child"/>
    <s v="Low"/>
    <n v="5"/>
  </r>
  <r>
    <x v="1"/>
    <x v="0"/>
    <s v="Asplund, Mrs. Carl Oscar (Selma Augusta Emilia Johansson)"/>
    <x v="1"/>
    <n v="38"/>
    <n v="1"/>
    <n v="5"/>
    <n v="31.387499999999999"/>
    <x v="0"/>
    <s v="Adult"/>
    <s v="Low"/>
    <n v="7"/>
  </r>
  <r>
    <x v="0"/>
    <x v="0"/>
    <s v="Emir, Mr. Farred Chehab"/>
    <x v="0"/>
    <m/>
    <n v="0"/>
    <n v="0"/>
    <n v="7.2249999999999996"/>
    <x v="1"/>
    <s v="Child"/>
    <s v="Low"/>
    <n v="1"/>
  </r>
  <r>
    <x v="0"/>
    <x v="1"/>
    <s v="Fortune, Mr. Charles Alexander"/>
    <x v="0"/>
    <n v="19"/>
    <n v="3"/>
    <n v="2"/>
    <n v="263"/>
    <x v="0"/>
    <s v="Adult"/>
    <s v="High"/>
    <n v="6"/>
  </r>
  <r>
    <x v="1"/>
    <x v="0"/>
    <s v="O'Dwyer, Miss. Ellen &quot;Nellie&quot;"/>
    <x v="1"/>
    <m/>
    <n v="0"/>
    <n v="0"/>
    <n v="7.8792"/>
    <x v="2"/>
    <s v="Child"/>
    <s v="Low"/>
    <n v="1"/>
  </r>
  <r>
    <x v="0"/>
    <x v="0"/>
    <s v="Todoroff, Mr. Lalio"/>
    <x v="0"/>
    <m/>
    <n v="0"/>
    <n v="0"/>
    <n v="7.8958000000000004"/>
    <x v="0"/>
    <s v="Child"/>
    <s v="Low"/>
    <n v="1"/>
  </r>
  <r>
    <x v="0"/>
    <x v="1"/>
    <s v="Uruchurtu, Don. Manuel E"/>
    <x v="0"/>
    <n v="40"/>
    <n v="0"/>
    <n v="0"/>
    <n v="27.720800000000001"/>
    <x v="1"/>
    <s v="Adult"/>
    <s v="Low"/>
    <n v="1"/>
  </r>
  <r>
    <x v="1"/>
    <x v="1"/>
    <s v="Spencer, Mrs. William Augustus (Marie Eugenie)"/>
    <x v="1"/>
    <m/>
    <n v="1"/>
    <n v="0"/>
    <n v="146.52080000000001"/>
    <x v="1"/>
    <s v="Child"/>
    <s v="High"/>
    <n v="2"/>
  </r>
  <r>
    <x v="1"/>
    <x v="0"/>
    <s v="Glynn, Miss. Mary Agatha"/>
    <x v="1"/>
    <m/>
    <n v="0"/>
    <n v="0"/>
    <n v="7.75"/>
    <x v="2"/>
    <s v="Child"/>
    <s v="Low"/>
    <n v="1"/>
  </r>
  <r>
    <x v="0"/>
    <x v="2"/>
    <s v="Wheadon, Mr. Edward H"/>
    <x v="0"/>
    <n v="66"/>
    <n v="0"/>
    <n v="0"/>
    <n v="10.5"/>
    <x v="0"/>
    <s v="Adult"/>
    <s v="Low"/>
    <n v="1"/>
  </r>
  <r>
    <x v="0"/>
    <x v="1"/>
    <s v="Meyer, Mr. Edgar Joseph"/>
    <x v="0"/>
    <n v="28"/>
    <n v="1"/>
    <n v="0"/>
    <n v="82.1708"/>
    <x v="1"/>
    <s v="Adult"/>
    <s v="High"/>
    <n v="2"/>
  </r>
  <r>
    <x v="0"/>
    <x v="1"/>
    <s v="Holverson, Mr. Alexander Oskar"/>
    <x v="0"/>
    <n v="42"/>
    <n v="1"/>
    <n v="0"/>
    <n v="52"/>
    <x v="0"/>
    <s v="Adult"/>
    <s v="High"/>
    <n v="2"/>
  </r>
  <r>
    <x v="1"/>
    <x v="0"/>
    <s v="Mamee, Mr. Hanna"/>
    <x v="0"/>
    <m/>
    <n v="0"/>
    <n v="0"/>
    <n v="7.2291999999999996"/>
    <x v="1"/>
    <s v="Child"/>
    <s v="Low"/>
    <n v="1"/>
  </r>
  <r>
    <x v="0"/>
    <x v="0"/>
    <s v="Cann, Mr. Ernest Charles"/>
    <x v="0"/>
    <n v="21"/>
    <n v="0"/>
    <n v="0"/>
    <n v="8.0500000000000007"/>
    <x v="0"/>
    <s v="Adult"/>
    <s v="Low"/>
    <n v="1"/>
  </r>
  <r>
    <x v="0"/>
    <x v="0"/>
    <s v="Vander Planke, Miss. Augusta Maria"/>
    <x v="1"/>
    <n v="18"/>
    <n v="2"/>
    <n v="0"/>
    <n v="18"/>
    <x v="0"/>
    <s v="Adult"/>
    <s v="Low"/>
    <n v="3"/>
  </r>
  <r>
    <x v="1"/>
    <x v="0"/>
    <s v="Nicola-Yarred, Miss. Jamila"/>
    <x v="1"/>
    <n v="14"/>
    <n v="1"/>
    <n v="0"/>
    <n v="11.2417"/>
    <x v="1"/>
    <s v="Child"/>
    <s v="Low"/>
    <n v="2"/>
  </r>
  <r>
    <x v="0"/>
    <x v="0"/>
    <s v="Ahlin, Mrs. Johan (Johanna Persdotter Larsson)"/>
    <x v="1"/>
    <n v="40"/>
    <n v="1"/>
    <n v="0"/>
    <n v="9.4749999999999996"/>
    <x v="0"/>
    <s v="Adult"/>
    <s v="Low"/>
    <n v="2"/>
  </r>
  <r>
    <x v="0"/>
    <x v="2"/>
    <s v="Turpin, Mrs. William John Robert (Dorothy Ann Wonnacott)"/>
    <x v="1"/>
    <n v="27"/>
    <n v="1"/>
    <n v="0"/>
    <n v="21"/>
    <x v="0"/>
    <s v="Adult"/>
    <s v="Low"/>
    <n v="2"/>
  </r>
  <r>
    <x v="0"/>
    <x v="0"/>
    <s v="Kraeff, Mr. Theodor"/>
    <x v="0"/>
    <m/>
    <n v="0"/>
    <n v="0"/>
    <n v="7.8958000000000004"/>
    <x v="1"/>
    <s v="Child"/>
    <s v="Low"/>
    <n v="1"/>
  </r>
  <r>
    <x v="1"/>
    <x v="2"/>
    <s v="Laroche, Miss. Simonne Marie Anne Andree"/>
    <x v="1"/>
    <n v="3"/>
    <n v="1"/>
    <n v="2"/>
    <n v="41.5792"/>
    <x v="1"/>
    <s v="Child"/>
    <s v="Low"/>
    <n v="4"/>
  </r>
  <r>
    <x v="1"/>
    <x v="0"/>
    <s v="Devaney, Miss. Margaret Delia"/>
    <x v="1"/>
    <n v="19"/>
    <n v="0"/>
    <n v="0"/>
    <n v="7.8792"/>
    <x v="2"/>
    <s v="Adult"/>
    <s v="Low"/>
    <n v="1"/>
  </r>
  <r>
    <x v="0"/>
    <x v="0"/>
    <s v="Rogers, Mr. William John"/>
    <x v="0"/>
    <m/>
    <n v="0"/>
    <n v="0"/>
    <n v="8.0500000000000007"/>
    <x v="0"/>
    <s v="Child"/>
    <s v="Low"/>
    <n v="1"/>
  </r>
  <r>
    <x v="0"/>
    <x v="0"/>
    <s v="Lennon, Mr. Denis"/>
    <x v="0"/>
    <m/>
    <n v="1"/>
    <n v="0"/>
    <n v="15.5"/>
    <x v="2"/>
    <s v="Child"/>
    <s v="Low"/>
    <n v="2"/>
  </r>
  <r>
    <x v="1"/>
    <x v="0"/>
    <s v="O'Driscoll, Miss. Bridget"/>
    <x v="1"/>
    <m/>
    <n v="0"/>
    <n v="0"/>
    <n v="7.75"/>
    <x v="2"/>
    <s v="Child"/>
    <s v="Low"/>
    <n v="1"/>
  </r>
  <r>
    <x v="0"/>
    <x v="0"/>
    <s v="Samaan, Mr. Youssef"/>
    <x v="0"/>
    <m/>
    <n v="2"/>
    <n v="0"/>
    <n v="21.679200000000002"/>
    <x v="1"/>
    <s v="Child"/>
    <s v="Low"/>
    <n v="3"/>
  </r>
  <r>
    <x v="0"/>
    <x v="0"/>
    <s v="Arnold-Franchi, Mrs. Josef (Josefine Franchi)"/>
    <x v="1"/>
    <n v="18"/>
    <n v="1"/>
    <n v="0"/>
    <n v="17.8"/>
    <x v="0"/>
    <s v="Adult"/>
    <s v="Low"/>
    <n v="2"/>
  </r>
  <r>
    <x v="0"/>
    <x v="0"/>
    <s v="Panula, Master. Juha Niilo"/>
    <x v="0"/>
    <n v="7"/>
    <n v="4"/>
    <n v="1"/>
    <n v="39.6875"/>
    <x v="0"/>
    <s v="Child"/>
    <s v="Low"/>
    <n v="6"/>
  </r>
  <r>
    <x v="0"/>
    <x v="0"/>
    <s v="Nosworthy, Mr. Richard Cater"/>
    <x v="0"/>
    <n v="21"/>
    <n v="0"/>
    <n v="0"/>
    <n v="7.8"/>
    <x v="0"/>
    <s v="Adult"/>
    <s v="Low"/>
    <n v="1"/>
  </r>
  <r>
    <x v="1"/>
    <x v="1"/>
    <s v="Harper, Mrs. Henry Sleeper (Myna Haxtun)"/>
    <x v="1"/>
    <n v="49"/>
    <n v="1"/>
    <n v="0"/>
    <n v="76.729200000000006"/>
    <x v="1"/>
    <s v="Adult"/>
    <s v="High"/>
    <n v="2"/>
  </r>
  <r>
    <x v="1"/>
    <x v="2"/>
    <s v="Faunthorpe, Mrs. Lizzie (Elizabeth Anne Wilkinson)"/>
    <x v="1"/>
    <n v="29"/>
    <n v="1"/>
    <n v="0"/>
    <n v="26"/>
    <x v="0"/>
    <s v="Adult"/>
    <s v="Low"/>
    <n v="2"/>
  </r>
  <r>
    <x v="0"/>
    <x v="1"/>
    <s v="Ostby, Mr. Engelhart Cornelius"/>
    <x v="0"/>
    <n v="65"/>
    <n v="0"/>
    <n v="1"/>
    <n v="61.979199999999999"/>
    <x v="1"/>
    <s v="Adult"/>
    <s v="High"/>
    <n v="2"/>
  </r>
  <r>
    <x v="1"/>
    <x v="1"/>
    <s v="Woolner, Mr. Hugh"/>
    <x v="0"/>
    <m/>
    <n v="0"/>
    <n v="0"/>
    <n v="35.5"/>
    <x v="0"/>
    <s v="Child"/>
    <s v="Low"/>
    <n v="1"/>
  </r>
  <r>
    <x v="1"/>
    <x v="2"/>
    <s v="Rugg, Miss. Emily"/>
    <x v="1"/>
    <n v="21"/>
    <n v="0"/>
    <n v="0"/>
    <n v="10.5"/>
    <x v="0"/>
    <s v="Adult"/>
    <s v="Low"/>
    <n v="1"/>
  </r>
  <r>
    <x v="0"/>
    <x v="0"/>
    <s v="Novel, Mr. Mansouer"/>
    <x v="0"/>
    <n v="28.5"/>
    <n v="0"/>
    <n v="0"/>
    <n v="7.2291999999999996"/>
    <x v="1"/>
    <s v="Adult"/>
    <s v="Low"/>
    <n v="1"/>
  </r>
  <r>
    <x v="1"/>
    <x v="2"/>
    <s v="West, Miss. Constance Mirium"/>
    <x v="1"/>
    <n v="5"/>
    <n v="1"/>
    <n v="2"/>
    <n v="27.75"/>
    <x v="0"/>
    <s v="Child"/>
    <s v="Low"/>
    <n v="4"/>
  </r>
  <r>
    <x v="0"/>
    <x v="0"/>
    <s v="Goodwin, Master. William Frederick"/>
    <x v="0"/>
    <n v="11"/>
    <n v="5"/>
    <n v="2"/>
    <n v="46.9"/>
    <x v="0"/>
    <s v="Child"/>
    <s v="Low"/>
    <n v="8"/>
  </r>
  <r>
    <x v="0"/>
    <x v="0"/>
    <s v="Sirayanian, Mr. Orsen"/>
    <x v="0"/>
    <n v="22"/>
    <n v="0"/>
    <n v="0"/>
    <n v="7.2291999999999996"/>
    <x v="1"/>
    <s v="Adult"/>
    <s v="Low"/>
    <n v="1"/>
  </r>
  <r>
    <x v="1"/>
    <x v="1"/>
    <s v="Icard, Miss. Amelie"/>
    <x v="1"/>
    <n v="38"/>
    <n v="0"/>
    <n v="0"/>
    <n v="80"/>
    <x v="3"/>
    <s v="Adult"/>
    <s v="High"/>
    <n v="1"/>
  </r>
  <r>
    <x v="0"/>
    <x v="1"/>
    <s v="Harris, Mr. Henry Birkhardt"/>
    <x v="0"/>
    <n v="45"/>
    <n v="1"/>
    <n v="0"/>
    <n v="83.474999999999994"/>
    <x v="0"/>
    <s v="Adult"/>
    <s v="High"/>
    <n v="2"/>
  </r>
  <r>
    <x v="0"/>
    <x v="0"/>
    <s v="Skoog, Master. Harald"/>
    <x v="0"/>
    <n v="4"/>
    <n v="3"/>
    <n v="2"/>
    <n v="27.9"/>
    <x v="0"/>
    <s v="Child"/>
    <s v="Low"/>
    <n v="6"/>
  </r>
  <r>
    <x v="0"/>
    <x v="1"/>
    <s v="Stewart, Mr. Albert A"/>
    <x v="0"/>
    <m/>
    <n v="0"/>
    <n v="0"/>
    <n v="27.720800000000001"/>
    <x v="1"/>
    <s v="Child"/>
    <s v="Low"/>
    <n v="1"/>
  </r>
  <r>
    <x v="1"/>
    <x v="0"/>
    <s v="Moubarek, Master. Gerios"/>
    <x v="0"/>
    <m/>
    <n v="1"/>
    <n v="1"/>
    <n v="15.245799999999999"/>
    <x v="1"/>
    <s v="Child"/>
    <s v="Low"/>
    <n v="3"/>
  </r>
  <r>
    <x v="1"/>
    <x v="2"/>
    <s v="Nye, Mrs. (Elizabeth Ramell)"/>
    <x v="1"/>
    <n v="29"/>
    <n v="0"/>
    <n v="0"/>
    <n v="10.5"/>
    <x v="0"/>
    <s v="Adult"/>
    <s v="Low"/>
    <n v="1"/>
  </r>
  <r>
    <x v="0"/>
    <x v="0"/>
    <s v="Crease, Mr. Ernest James"/>
    <x v="0"/>
    <n v="19"/>
    <n v="0"/>
    <n v="0"/>
    <n v="8.1583000000000006"/>
    <x v="0"/>
    <s v="Adult"/>
    <s v="Low"/>
    <n v="1"/>
  </r>
  <r>
    <x v="1"/>
    <x v="0"/>
    <s v="Andersson, Miss. Erna Alexandra"/>
    <x v="1"/>
    <n v="17"/>
    <n v="4"/>
    <n v="2"/>
    <n v="7.9249999999999998"/>
    <x v="0"/>
    <s v="Child"/>
    <s v="Low"/>
    <n v="7"/>
  </r>
  <r>
    <x v="0"/>
    <x v="0"/>
    <s v="Kink, Mr. Vincenz"/>
    <x v="0"/>
    <n v="26"/>
    <n v="2"/>
    <n v="0"/>
    <n v="8.6624999999999996"/>
    <x v="0"/>
    <s v="Adult"/>
    <s v="Low"/>
    <n v="3"/>
  </r>
  <r>
    <x v="0"/>
    <x v="2"/>
    <s v="Jenkin, Mr. Stephen Curnow"/>
    <x v="0"/>
    <n v="32"/>
    <n v="0"/>
    <n v="0"/>
    <n v="10.5"/>
    <x v="0"/>
    <s v="Adult"/>
    <s v="Low"/>
    <n v="1"/>
  </r>
  <r>
    <x v="0"/>
    <x v="0"/>
    <s v="Goodwin, Miss. Lillian Amy"/>
    <x v="1"/>
    <n v="16"/>
    <n v="5"/>
    <n v="2"/>
    <n v="46.9"/>
    <x v="0"/>
    <s v="Child"/>
    <s v="Low"/>
    <n v="8"/>
  </r>
  <r>
    <x v="0"/>
    <x v="2"/>
    <s v="Hood, Mr. Ambrose Jr"/>
    <x v="0"/>
    <n v="21"/>
    <n v="0"/>
    <n v="0"/>
    <n v="73.5"/>
    <x v="0"/>
    <s v="Adult"/>
    <s v="High"/>
    <n v="1"/>
  </r>
  <r>
    <x v="0"/>
    <x v="0"/>
    <s v="Chronopoulos, Mr. Apostolos"/>
    <x v="0"/>
    <n v="26"/>
    <n v="1"/>
    <n v="0"/>
    <n v="14.4542"/>
    <x v="1"/>
    <s v="Adult"/>
    <s v="Low"/>
    <n v="2"/>
  </r>
  <r>
    <x v="1"/>
    <x v="0"/>
    <s v="Bing, Mr. Lee"/>
    <x v="0"/>
    <n v="32"/>
    <n v="0"/>
    <n v="0"/>
    <n v="56.495800000000003"/>
    <x v="0"/>
    <s v="Adult"/>
    <s v="High"/>
    <n v="1"/>
  </r>
  <r>
    <x v="0"/>
    <x v="0"/>
    <s v="Moen, Mr. Sigurd Hansen"/>
    <x v="0"/>
    <n v="25"/>
    <n v="0"/>
    <n v="0"/>
    <n v="7.65"/>
    <x v="0"/>
    <s v="Adult"/>
    <s v="Low"/>
    <n v="1"/>
  </r>
  <r>
    <x v="0"/>
    <x v="0"/>
    <s v="Staneff, Mr. Ivan"/>
    <x v="0"/>
    <m/>
    <n v="0"/>
    <n v="0"/>
    <n v="7.8958000000000004"/>
    <x v="0"/>
    <s v="Child"/>
    <s v="Low"/>
    <n v="1"/>
  </r>
  <r>
    <x v="0"/>
    <x v="0"/>
    <s v="Moutal, Mr. Rahamin Haim"/>
    <x v="0"/>
    <m/>
    <n v="0"/>
    <n v="0"/>
    <n v="8.0500000000000007"/>
    <x v="0"/>
    <s v="Child"/>
    <s v="Low"/>
    <n v="1"/>
  </r>
  <r>
    <x v="1"/>
    <x v="2"/>
    <s v="Caldwell, Master. Alden Gates"/>
    <x v="0"/>
    <n v="0.83"/>
    <n v="0"/>
    <n v="2"/>
    <n v="29"/>
    <x v="0"/>
    <s v="Child"/>
    <s v="Low"/>
    <n v="3"/>
  </r>
  <r>
    <x v="1"/>
    <x v="0"/>
    <s v="Dowdell, Miss. Elizabeth"/>
    <x v="1"/>
    <n v="30"/>
    <n v="0"/>
    <n v="0"/>
    <n v="12.475"/>
    <x v="0"/>
    <s v="Adult"/>
    <s v="Low"/>
    <n v="1"/>
  </r>
  <r>
    <x v="0"/>
    <x v="0"/>
    <s v="Waelens, Mr. Achille"/>
    <x v="0"/>
    <n v="22"/>
    <n v="0"/>
    <n v="0"/>
    <n v="9"/>
    <x v="0"/>
    <s v="Adult"/>
    <s v="Low"/>
    <n v="1"/>
  </r>
  <r>
    <x v="1"/>
    <x v="0"/>
    <s v="Sheerlinck, Mr. Jan Baptist"/>
    <x v="0"/>
    <n v="29"/>
    <n v="0"/>
    <n v="0"/>
    <n v="9.5"/>
    <x v="0"/>
    <s v="Adult"/>
    <s v="Low"/>
    <n v="1"/>
  </r>
  <r>
    <x v="1"/>
    <x v="0"/>
    <s v="McDermott, Miss. Brigdet Delia"/>
    <x v="1"/>
    <m/>
    <n v="0"/>
    <n v="0"/>
    <n v="7.7874999999999996"/>
    <x v="2"/>
    <s v="Child"/>
    <s v="Low"/>
    <n v="1"/>
  </r>
  <r>
    <x v="0"/>
    <x v="1"/>
    <s v="Carrau, Mr. Francisco M"/>
    <x v="0"/>
    <n v="28"/>
    <n v="0"/>
    <n v="0"/>
    <n v="47.1"/>
    <x v="0"/>
    <s v="Adult"/>
    <s v="Low"/>
    <n v="1"/>
  </r>
  <r>
    <x v="1"/>
    <x v="2"/>
    <s v="Ilett, Miss. Bertha"/>
    <x v="1"/>
    <n v="17"/>
    <n v="0"/>
    <n v="0"/>
    <n v="10.5"/>
    <x v="0"/>
    <s v="Child"/>
    <s v="Low"/>
    <n v="1"/>
  </r>
  <r>
    <x v="1"/>
    <x v="0"/>
    <s v="Backstrom, Mrs. Karl Alfred (Maria Mathilda Gustafsson)"/>
    <x v="1"/>
    <n v="33"/>
    <n v="3"/>
    <n v="0"/>
    <n v="15.85"/>
    <x v="0"/>
    <s v="Adult"/>
    <s v="Low"/>
    <n v="4"/>
  </r>
  <r>
    <x v="0"/>
    <x v="0"/>
    <s v="Ford, Mr. William Neal"/>
    <x v="0"/>
    <n v="16"/>
    <n v="1"/>
    <n v="3"/>
    <n v="34.375"/>
    <x v="0"/>
    <s v="Child"/>
    <s v="Low"/>
    <n v="5"/>
  </r>
  <r>
    <x v="0"/>
    <x v="0"/>
    <s v="Slocovski, Mr. Selman Francis"/>
    <x v="0"/>
    <m/>
    <n v="0"/>
    <n v="0"/>
    <n v="8.0500000000000007"/>
    <x v="0"/>
    <s v="Child"/>
    <s v="Low"/>
    <n v="1"/>
  </r>
  <r>
    <x v="1"/>
    <x v="1"/>
    <s v="Fortune, Miss. Mabel Helen"/>
    <x v="1"/>
    <n v="23"/>
    <n v="3"/>
    <n v="2"/>
    <n v="263"/>
    <x v="0"/>
    <s v="Adult"/>
    <s v="High"/>
    <n v="6"/>
  </r>
  <r>
    <x v="0"/>
    <x v="0"/>
    <s v="Celotti, Mr. Francesco"/>
    <x v="0"/>
    <n v="24"/>
    <n v="0"/>
    <n v="0"/>
    <n v="8.0500000000000007"/>
    <x v="0"/>
    <s v="Adult"/>
    <s v="Low"/>
    <n v="1"/>
  </r>
  <r>
    <x v="0"/>
    <x v="0"/>
    <s v="Christmann, Mr. Emil"/>
    <x v="0"/>
    <n v="29"/>
    <n v="0"/>
    <n v="0"/>
    <n v="8.0500000000000007"/>
    <x v="0"/>
    <s v="Adult"/>
    <s v="Low"/>
    <n v="1"/>
  </r>
  <r>
    <x v="0"/>
    <x v="0"/>
    <s v="Andreasson, Mr. Paul Edvin"/>
    <x v="0"/>
    <n v="20"/>
    <n v="0"/>
    <n v="0"/>
    <n v="7.8541999999999996"/>
    <x v="0"/>
    <s v="Adult"/>
    <s v="Low"/>
    <n v="1"/>
  </r>
  <r>
    <x v="0"/>
    <x v="1"/>
    <s v="Chaffee, Mr. Herbert Fuller"/>
    <x v="0"/>
    <n v="46"/>
    <n v="1"/>
    <n v="0"/>
    <n v="61.174999999999997"/>
    <x v="0"/>
    <s v="Adult"/>
    <s v="High"/>
    <n v="2"/>
  </r>
  <r>
    <x v="0"/>
    <x v="0"/>
    <s v="Dean, Mr. Bertram Frank"/>
    <x v="0"/>
    <n v="26"/>
    <n v="1"/>
    <n v="2"/>
    <n v="20.574999999999999"/>
    <x v="0"/>
    <s v="Adult"/>
    <s v="Low"/>
    <n v="4"/>
  </r>
  <r>
    <x v="0"/>
    <x v="0"/>
    <s v="Coxon, Mr. Daniel"/>
    <x v="0"/>
    <n v="59"/>
    <n v="0"/>
    <n v="0"/>
    <n v="7.25"/>
    <x v="0"/>
    <s v="Adult"/>
    <s v="Low"/>
    <n v="1"/>
  </r>
  <r>
    <x v="0"/>
    <x v="0"/>
    <s v="Shorney, Mr. Charles Joseph"/>
    <x v="0"/>
    <m/>
    <n v="0"/>
    <n v="0"/>
    <n v="8.0500000000000007"/>
    <x v="0"/>
    <s v="Child"/>
    <s v="Low"/>
    <n v="1"/>
  </r>
  <r>
    <x v="0"/>
    <x v="1"/>
    <s v="Goldschmidt, Mr. George B"/>
    <x v="0"/>
    <n v="71"/>
    <n v="0"/>
    <n v="0"/>
    <n v="34.654200000000003"/>
    <x v="1"/>
    <s v="Adult"/>
    <s v="Low"/>
    <n v="1"/>
  </r>
  <r>
    <x v="1"/>
    <x v="1"/>
    <s v="Greenfield, Mr. William Bertram"/>
    <x v="0"/>
    <n v="23"/>
    <n v="0"/>
    <n v="1"/>
    <n v="63.3583"/>
    <x v="1"/>
    <s v="Adult"/>
    <s v="High"/>
    <n v="2"/>
  </r>
  <r>
    <x v="1"/>
    <x v="2"/>
    <s v="Doling, Mrs. John T (Ada Julia Bone)"/>
    <x v="1"/>
    <n v="34"/>
    <n v="0"/>
    <n v="1"/>
    <n v="23"/>
    <x v="0"/>
    <s v="Adult"/>
    <s v="Low"/>
    <n v="2"/>
  </r>
  <r>
    <x v="0"/>
    <x v="2"/>
    <s v="Kantor, Mr. Sinai"/>
    <x v="0"/>
    <n v="34"/>
    <n v="1"/>
    <n v="0"/>
    <n v="26"/>
    <x v="0"/>
    <s v="Adult"/>
    <s v="Low"/>
    <n v="2"/>
  </r>
  <r>
    <x v="0"/>
    <x v="0"/>
    <s v="Petranec, Miss. Matilda"/>
    <x v="1"/>
    <n v="28"/>
    <n v="0"/>
    <n v="0"/>
    <n v="7.8958000000000004"/>
    <x v="0"/>
    <s v="Adult"/>
    <s v="Low"/>
    <n v="1"/>
  </r>
  <r>
    <x v="0"/>
    <x v="0"/>
    <s v="Petroff, Mr. Pastcho (&quot;Pentcho&quot;)"/>
    <x v="0"/>
    <m/>
    <n v="0"/>
    <n v="0"/>
    <n v="7.8958000000000004"/>
    <x v="0"/>
    <s v="Child"/>
    <s v="Low"/>
    <n v="1"/>
  </r>
  <r>
    <x v="0"/>
    <x v="1"/>
    <s v="White, Mr. Richard Frasar"/>
    <x v="0"/>
    <n v="21"/>
    <n v="0"/>
    <n v="1"/>
    <n v="77.287499999999994"/>
    <x v="0"/>
    <s v="Adult"/>
    <s v="High"/>
    <n v="2"/>
  </r>
  <r>
    <x v="0"/>
    <x v="0"/>
    <s v="Johansson, Mr. Gustaf Joel"/>
    <x v="0"/>
    <n v="33"/>
    <n v="0"/>
    <n v="0"/>
    <n v="8.6541999999999994"/>
    <x v="0"/>
    <s v="Adult"/>
    <s v="Low"/>
    <n v="1"/>
  </r>
  <r>
    <x v="0"/>
    <x v="0"/>
    <s v="Gustafsson, Mr. Anders Vilhelm"/>
    <x v="0"/>
    <n v="37"/>
    <n v="2"/>
    <n v="0"/>
    <n v="7.9249999999999998"/>
    <x v="0"/>
    <s v="Adult"/>
    <s v="Low"/>
    <n v="3"/>
  </r>
  <r>
    <x v="0"/>
    <x v="0"/>
    <s v="Mionoff, Mr. Stoytcho"/>
    <x v="0"/>
    <n v="28"/>
    <n v="0"/>
    <n v="0"/>
    <n v="7.8958000000000004"/>
    <x v="0"/>
    <s v="Adult"/>
    <s v="Low"/>
    <n v="1"/>
  </r>
  <r>
    <x v="1"/>
    <x v="0"/>
    <s v="Salkjelsvik, Miss. Anna Kristine"/>
    <x v="1"/>
    <n v="21"/>
    <n v="0"/>
    <n v="0"/>
    <n v="7.65"/>
    <x v="0"/>
    <s v="Adult"/>
    <s v="Low"/>
    <n v="1"/>
  </r>
  <r>
    <x v="1"/>
    <x v="0"/>
    <s v="Moss, Mr. Albert Johan"/>
    <x v="0"/>
    <m/>
    <n v="0"/>
    <n v="0"/>
    <n v="7.7750000000000004"/>
    <x v="0"/>
    <s v="Child"/>
    <s v="Low"/>
    <n v="1"/>
  </r>
  <r>
    <x v="0"/>
    <x v="0"/>
    <s v="Rekic, Mr. Tido"/>
    <x v="0"/>
    <n v="38"/>
    <n v="0"/>
    <n v="0"/>
    <n v="7.8958000000000004"/>
    <x v="0"/>
    <s v="Adult"/>
    <s v="Low"/>
    <n v="1"/>
  </r>
  <r>
    <x v="1"/>
    <x v="0"/>
    <s v="Moran, Miss. Bertha"/>
    <x v="1"/>
    <m/>
    <n v="1"/>
    <n v="0"/>
    <n v="24.15"/>
    <x v="2"/>
    <s v="Child"/>
    <s v="Low"/>
    <n v="2"/>
  </r>
  <r>
    <x v="0"/>
    <x v="1"/>
    <s v="Porter, Mr. Walter Chamberlain"/>
    <x v="0"/>
    <n v="47"/>
    <n v="0"/>
    <n v="0"/>
    <n v="52"/>
    <x v="0"/>
    <s v="Adult"/>
    <s v="High"/>
    <n v="1"/>
  </r>
  <r>
    <x v="0"/>
    <x v="0"/>
    <s v="Zabour, Miss. Hileni"/>
    <x v="1"/>
    <n v="14.5"/>
    <n v="1"/>
    <n v="0"/>
    <n v="14.4542"/>
    <x v="1"/>
    <s v="Child"/>
    <s v="Low"/>
    <n v="2"/>
  </r>
  <r>
    <x v="0"/>
    <x v="0"/>
    <s v="Barton, Mr. David John"/>
    <x v="0"/>
    <n v="22"/>
    <n v="0"/>
    <n v="0"/>
    <n v="8.0500000000000007"/>
    <x v="0"/>
    <s v="Adult"/>
    <s v="Low"/>
    <n v="1"/>
  </r>
  <r>
    <x v="0"/>
    <x v="0"/>
    <s v="Jussila, Miss. Katriina"/>
    <x v="1"/>
    <n v="20"/>
    <n v="1"/>
    <n v="0"/>
    <n v="9.8249999999999993"/>
    <x v="0"/>
    <s v="Adult"/>
    <s v="Low"/>
    <n v="2"/>
  </r>
  <r>
    <x v="0"/>
    <x v="0"/>
    <s v="Attalah, Miss. Malake"/>
    <x v="1"/>
    <n v="17"/>
    <n v="0"/>
    <n v="0"/>
    <n v="14.458299999999999"/>
    <x v="1"/>
    <s v="Child"/>
    <s v="Low"/>
    <n v="1"/>
  </r>
  <r>
    <x v="0"/>
    <x v="0"/>
    <s v="Pekoniemi, Mr. Edvard"/>
    <x v="0"/>
    <n v="21"/>
    <n v="0"/>
    <n v="0"/>
    <n v="7.9249999999999998"/>
    <x v="0"/>
    <s v="Adult"/>
    <s v="Low"/>
    <n v="1"/>
  </r>
  <r>
    <x v="0"/>
    <x v="0"/>
    <s v="Connors, Mr. Patrick"/>
    <x v="0"/>
    <n v="70.5"/>
    <n v="0"/>
    <n v="0"/>
    <n v="7.75"/>
    <x v="2"/>
    <s v="Adult"/>
    <s v="Low"/>
    <n v="1"/>
  </r>
  <r>
    <x v="0"/>
    <x v="2"/>
    <s v="Turpin, Mr. William John Robert"/>
    <x v="0"/>
    <n v="29"/>
    <n v="1"/>
    <n v="0"/>
    <n v="21"/>
    <x v="0"/>
    <s v="Adult"/>
    <s v="Low"/>
    <n v="2"/>
  </r>
  <r>
    <x v="0"/>
    <x v="1"/>
    <s v="Baxter, Mr. Quigg Edmond"/>
    <x v="0"/>
    <n v="24"/>
    <n v="0"/>
    <n v="1"/>
    <n v="247.52080000000001"/>
    <x v="1"/>
    <s v="Adult"/>
    <s v="High"/>
    <n v="2"/>
  </r>
  <r>
    <x v="0"/>
    <x v="0"/>
    <s v="Andersson, Miss. Ellis Anna Maria"/>
    <x v="1"/>
    <n v="2"/>
    <n v="4"/>
    <n v="2"/>
    <n v="31.274999999999999"/>
    <x v="0"/>
    <s v="Child"/>
    <s v="Low"/>
    <n v="7"/>
  </r>
  <r>
    <x v="0"/>
    <x v="2"/>
    <s v="Hickman, Mr. Stanley George"/>
    <x v="0"/>
    <n v="21"/>
    <n v="2"/>
    <n v="0"/>
    <n v="73.5"/>
    <x v="0"/>
    <s v="Adult"/>
    <s v="High"/>
    <n v="3"/>
  </r>
  <r>
    <x v="0"/>
    <x v="0"/>
    <s v="Moore, Mr. Leonard Charles"/>
    <x v="0"/>
    <m/>
    <n v="0"/>
    <n v="0"/>
    <n v="8.0500000000000007"/>
    <x v="0"/>
    <s v="Child"/>
    <s v="Low"/>
    <n v="1"/>
  </r>
  <r>
    <x v="0"/>
    <x v="2"/>
    <s v="Nasser, Mr. Nicholas"/>
    <x v="0"/>
    <n v="32.5"/>
    <n v="1"/>
    <n v="0"/>
    <n v="30.070799999999998"/>
    <x v="1"/>
    <s v="Adult"/>
    <s v="Low"/>
    <n v="2"/>
  </r>
  <r>
    <x v="1"/>
    <x v="2"/>
    <s v="Webber, Miss. Susan"/>
    <x v="1"/>
    <n v="32.5"/>
    <n v="0"/>
    <n v="0"/>
    <n v="13"/>
    <x v="0"/>
    <s v="Adult"/>
    <s v="Low"/>
    <n v="1"/>
  </r>
  <r>
    <x v="0"/>
    <x v="1"/>
    <s v="White, Mr. Percival Wayland"/>
    <x v="0"/>
    <n v="54"/>
    <n v="0"/>
    <n v="1"/>
    <n v="77.287499999999994"/>
    <x v="0"/>
    <s v="Adult"/>
    <s v="High"/>
    <n v="2"/>
  </r>
  <r>
    <x v="1"/>
    <x v="0"/>
    <s v="Nicola-Yarred, Master. Elias"/>
    <x v="0"/>
    <n v="12"/>
    <n v="1"/>
    <n v="0"/>
    <n v="11.2417"/>
    <x v="1"/>
    <s v="Child"/>
    <s v="Low"/>
    <n v="2"/>
  </r>
  <r>
    <x v="0"/>
    <x v="0"/>
    <s v="McMahon, Mr. Martin"/>
    <x v="0"/>
    <m/>
    <n v="0"/>
    <n v="0"/>
    <n v="7.75"/>
    <x v="2"/>
    <s v="Child"/>
    <s v="Low"/>
    <n v="1"/>
  </r>
  <r>
    <x v="1"/>
    <x v="0"/>
    <s v="Madsen, Mr. Fridtjof Arne"/>
    <x v="0"/>
    <n v="24"/>
    <n v="0"/>
    <n v="0"/>
    <n v="7.1417000000000002"/>
    <x v="0"/>
    <s v="Adult"/>
    <s v="Low"/>
    <n v="1"/>
  </r>
  <r>
    <x v="1"/>
    <x v="0"/>
    <s v="Peter, Miss. Anna"/>
    <x v="1"/>
    <m/>
    <n v="1"/>
    <n v="1"/>
    <n v="22.3583"/>
    <x v="1"/>
    <s v="Child"/>
    <s v="Low"/>
    <n v="3"/>
  </r>
  <r>
    <x v="0"/>
    <x v="0"/>
    <s v="Ekstrom, Mr. Johan"/>
    <x v="0"/>
    <n v="45"/>
    <n v="0"/>
    <n v="0"/>
    <n v="6.9749999999999996"/>
    <x v="0"/>
    <s v="Adult"/>
    <s v="Low"/>
    <n v="1"/>
  </r>
  <r>
    <x v="0"/>
    <x v="0"/>
    <s v="Drazenoic, Mr. Jozef"/>
    <x v="0"/>
    <n v="33"/>
    <n v="0"/>
    <n v="0"/>
    <n v="7.8958000000000004"/>
    <x v="1"/>
    <s v="Adult"/>
    <s v="Low"/>
    <n v="1"/>
  </r>
  <r>
    <x v="0"/>
    <x v="0"/>
    <s v="Coelho, Mr. Domingos Fernandeo"/>
    <x v="0"/>
    <n v="20"/>
    <n v="0"/>
    <n v="0"/>
    <n v="7.05"/>
    <x v="0"/>
    <s v="Adult"/>
    <s v="Low"/>
    <n v="1"/>
  </r>
  <r>
    <x v="0"/>
    <x v="0"/>
    <s v="Robins, Mrs. Alexander A (Grace Charity Laury)"/>
    <x v="1"/>
    <n v="47"/>
    <n v="1"/>
    <n v="0"/>
    <n v="14.5"/>
    <x v="0"/>
    <s v="Adult"/>
    <s v="Low"/>
    <n v="2"/>
  </r>
  <r>
    <x v="1"/>
    <x v="2"/>
    <s v="Weisz, Mrs. Leopold (Mathilde Francoise Pede)"/>
    <x v="1"/>
    <n v="29"/>
    <n v="1"/>
    <n v="0"/>
    <n v="26"/>
    <x v="0"/>
    <s v="Adult"/>
    <s v="Low"/>
    <n v="2"/>
  </r>
  <r>
    <x v="0"/>
    <x v="2"/>
    <s v="Sobey, Mr. Samuel James Hayden"/>
    <x v="0"/>
    <n v="25"/>
    <n v="0"/>
    <n v="0"/>
    <n v="13"/>
    <x v="0"/>
    <s v="Adult"/>
    <s v="Low"/>
    <n v="1"/>
  </r>
  <r>
    <x v="0"/>
    <x v="2"/>
    <s v="Richard, Mr. Emile"/>
    <x v="0"/>
    <n v="23"/>
    <n v="0"/>
    <n v="0"/>
    <n v="15.0458"/>
    <x v="1"/>
    <s v="Adult"/>
    <s v="Low"/>
    <n v="1"/>
  </r>
  <r>
    <x v="1"/>
    <x v="1"/>
    <s v="Newsom, Miss. Helen Monypeny"/>
    <x v="1"/>
    <n v="19"/>
    <n v="0"/>
    <n v="2"/>
    <n v="26.283300000000001"/>
    <x v="0"/>
    <s v="Adult"/>
    <s v="Low"/>
    <n v="3"/>
  </r>
  <r>
    <x v="0"/>
    <x v="1"/>
    <s v="Futrelle, Mr. Jacques Heath"/>
    <x v="0"/>
    <n v="37"/>
    <n v="1"/>
    <n v="0"/>
    <n v="53.1"/>
    <x v="0"/>
    <s v="Adult"/>
    <s v="High"/>
    <n v="2"/>
  </r>
  <r>
    <x v="0"/>
    <x v="0"/>
    <s v="Osen, Mr. Olaf Elon"/>
    <x v="0"/>
    <n v="16"/>
    <n v="0"/>
    <n v="0"/>
    <n v="9.2166999999999994"/>
    <x v="0"/>
    <s v="Child"/>
    <s v="Low"/>
    <n v="1"/>
  </r>
  <r>
    <x v="0"/>
    <x v="1"/>
    <s v="Giglio, Mr. Victor"/>
    <x v="0"/>
    <n v="24"/>
    <n v="0"/>
    <n v="0"/>
    <n v="79.2"/>
    <x v="1"/>
    <s v="Adult"/>
    <s v="High"/>
    <n v="1"/>
  </r>
  <r>
    <x v="0"/>
    <x v="0"/>
    <s v="Boulos, Mrs. Joseph (Sultana)"/>
    <x v="1"/>
    <m/>
    <n v="0"/>
    <n v="2"/>
    <n v="15.245799999999999"/>
    <x v="1"/>
    <s v="Child"/>
    <s v="Low"/>
    <n v="3"/>
  </r>
  <r>
    <x v="1"/>
    <x v="0"/>
    <s v="Nysten, Miss. Anna Sofia"/>
    <x v="1"/>
    <n v="22"/>
    <n v="0"/>
    <n v="0"/>
    <n v="7.75"/>
    <x v="0"/>
    <s v="Adult"/>
    <s v="Low"/>
    <n v="1"/>
  </r>
  <r>
    <x v="1"/>
    <x v="0"/>
    <s v="Hakkarainen, Mrs. Pekka Pietari (Elin Matilda Dolck)"/>
    <x v="1"/>
    <n v="24"/>
    <n v="1"/>
    <n v="0"/>
    <n v="15.85"/>
    <x v="0"/>
    <s v="Adult"/>
    <s v="Low"/>
    <n v="2"/>
  </r>
  <r>
    <x v="0"/>
    <x v="0"/>
    <s v="Burke, Mr. Jeremiah"/>
    <x v="0"/>
    <n v="19"/>
    <n v="0"/>
    <n v="0"/>
    <n v="6.75"/>
    <x v="2"/>
    <s v="Adult"/>
    <s v="Low"/>
    <n v="1"/>
  </r>
  <r>
    <x v="0"/>
    <x v="2"/>
    <s v="Andrew, Mr. Edgardo Samuel"/>
    <x v="0"/>
    <n v="18"/>
    <n v="0"/>
    <n v="0"/>
    <n v="11.5"/>
    <x v="0"/>
    <s v="Adult"/>
    <s v="Low"/>
    <n v="1"/>
  </r>
  <r>
    <x v="0"/>
    <x v="2"/>
    <s v="Nicholls, Mr. Joseph Charles"/>
    <x v="0"/>
    <n v="19"/>
    <n v="1"/>
    <n v="1"/>
    <n v="36.75"/>
    <x v="0"/>
    <s v="Adult"/>
    <s v="Low"/>
    <n v="3"/>
  </r>
  <r>
    <x v="1"/>
    <x v="0"/>
    <s v="Andersson, Mr. August Edvard (&quot;Wennerstrom&quot;)"/>
    <x v="0"/>
    <n v="27"/>
    <n v="0"/>
    <n v="0"/>
    <n v="7.7957999999999998"/>
    <x v="0"/>
    <s v="Adult"/>
    <s v="Low"/>
    <n v="1"/>
  </r>
  <r>
    <x v="0"/>
    <x v="0"/>
    <s v="Ford, Miss. Robina Maggie &quot;Ruby&quot;"/>
    <x v="1"/>
    <n v="9"/>
    <n v="2"/>
    <n v="2"/>
    <n v="34.375"/>
    <x v="0"/>
    <s v="Child"/>
    <s v="Low"/>
    <n v="5"/>
  </r>
  <r>
    <x v="0"/>
    <x v="2"/>
    <s v="Navratil, Mr. Michel (&quot;Louis M Hoffman&quot;)"/>
    <x v="0"/>
    <n v="36.5"/>
    <n v="0"/>
    <n v="2"/>
    <n v="26"/>
    <x v="0"/>
    <s v="Adult"/>
    <s v="Low"/>
    <n v="3"/>
  </r>
  <r>
    <x v="0"/>
    <x v="2"/>
    <s v="Byles, Rev. Thomas Roussel Davids"/>
    <x v="0"/>
    <n v="42"/>
    <n v="0"/>
    <n v="0"/>
    <n v="13"/>
    <x v="0"/>
    <s v="Adult"/>
    <s v="Low"/>
    <n v="1"/>
  </r>
  <r>
    <x v="0"/>
    <x v="2"/>
    <s v="Bateman, Rev. Robert James"/>
    <x v="0"/>
    <n v="51"/>
    <n v="0"/>
    <n v="0"/>
    <n v="12.525"/>
    <x v="0"/>
    <s v="Adult"/>
    <s v="Low"/>
    <n v="1"/>
  </r>
  <r>
    <x v="1"/>
    <x v="1"/>
    <s v="Pears, Mrs. Thomas (Edith Wearne)"/>
    <x v="1"/>
    <n v="22"/>
    <n v="1"/>
    <n v="0"/>
    <n v="66.599999999999994"/>
    <x v="0"/>
    <s v="Adult"/>
    <s v="High"/>
    <n v="2"/>
  </r>
  <r>
    <x v="0"/>
    <x v="0"/>
    <s v="Meo, Mr. Alfonzo"/>
    <x v="0"/>
    <n v="55.5"/>
    <n v="0"/>
    <n v="0"/>
    <n v="8.0500000000000007"/>
    <x v="0"/>
    <s v="Adult"/>
    <s v="Low"/>
    <n v="1"/>
  </r>
  <r>
    <x v="0"/>
    <x v="0"/>
    <s v="van Billiard, Mr. Austin Blyler"/>
    <x v="0"/>
    <n v="40.5"/>
    <n v="0"/>
    <n v="2"/>
    <n v="14.5"/>
    <x v="0"/>
    <s v="Adult"/>
    <s v="Low"/>
    <n v="3"/>
  </r>
  <r>
    <x v="0"/>
    <x v="0"/>
    <s v="Olsen, Mr. Ole Martin"/>
    <x v="0"/>
    <m/>
    <n v="0"/>
    <n v="0"/>
    <n v="7.3125"/>
    <x v="0"/>
    <s v="Child"/>
    <s v="Low"/>
    <n v="1"/>
  </r>
  <r>
    <x v="0"/>
    <x v="1"/>
    <s v="Williams, Mr. Charles Duane"/>
    <x v="0"/>
    <n v="51"/>
    <n v="0"/>
    <n v="1"/>
    <n v="61.379199999999997"/>
    <x v="1"/>
    <s v="Adult"/>
    <s v="High"/>
    <n v="2"/>
  </r>
  <r>
    <x v="1"/>
    <x v="0"/>
    <s v="Gilnagh, Miss. Katherine &quot;Katie&quot;"/>
    <x v="1"/>
    <n v="16"/>
    <n v="0"/>
    <n v="0"/>
    <n v="7.7332999999999998"/>
    <x v="2"/>
    <s v="Child"/>
    <s v="Low"/>
    <n v="1"/>
  </r>
  <r>
    <x v="0"/>
    <x v="0"/>
    <s v="Corn, Mr. Harry"/>
    <x v="0"/>
    <n v="30"/>
    <n v="0"/>
    <n v="0"/>
    <n v="8.0500000000000007"/>
    <x v="0"/>
    <s v="Adult"/>
    <s v="Low"/>
    <n v="1"/>
  </r>
  <r>
    <x v="0"/>
    <x v="0"/>
    <s v="Smiljanic, Mr. Mile"/>
    <x v="0"/>
    <m/>
    <n v="0"/>
    <n v="0"/>
    <n v="8.6624999999999996"/>
    <x v="0"/>
    <s v="Child"/>
    <s v="Low"/>
    <n v="1"/>
  </r>
  <r>
    <x v="0"/>
    <x v="0"/>
    <s v="Sage, Master. Thomas Henry"/>
    <x v="0"/>
    <m/>
    <n v="8"/>
    <n v="2"/>
    <n v="69.55"/>
    <x v="0"/>
    <s v="Child"/>
    <s v="High"/>
    <n v="11"/>
  </r>
  <r>
    <x v="0"/>
    <x v="0"/>
    <s v="Cribb, Mr. John Hatfield"/>
    <x v="0"/>
    <n v="44"/>
    <n v="0"/>
    <n v="1"/>
    <n v="16.100000000000001"/>
    <x v="0"/>
    <s v="Adult"/>
    <s v="Low"/>
    <n v="2"/>
  </r>
  <r>
    <x v="1"/>
    <x v="2"/>
    <s v="Watt, Mrs. James (Elizabeth &quot;Bessie&quot; Inglis Milne)"/>
    <x v="1"/>
    <n v="40"/>
    <n v="0"/>
    <n v="0"/>
    <n v="15.75"/>
    <x v="0"/>
    <s v="Adult"/>
    <s v="Low"/>
    <n v="1"/>
  </r>
  <r>
    <x v="0"/>
    <x v="0"/>
    <s v="Bengtsson, Mr. John Viktor"/>
    <x v="0"/>
    <n v="26"/>
    <n v="0"/>
    <n v="0"/>
    <n v="7.7750000000000004"/>
    <x v="0"/>
    <s v="Adult"/>
    <s v="Low"/>
    <n v="1"/>
  </r>
  <r>
    <x v="0"/>
    <x v="0"/>
    <s v="Calic, Mr. Jovo"/>
    <x v="0"/>
    <n v="17"/>
    <n v="0"/>
    <n v="0"/>
    <n v="8.6624999999999996"/>
    <x v="0"/>
    <s v="Child"/>
    <s v="Low"/>
    <n v="1"/>
  </r>
  <r>
    <x v="0"/>
    <x v="0"/>
    <s v="Panula, Master. Eino Viljami"/>
    <x v="0"/>
    <n v="1"/>
    <n v="4"/>
    <n v="1"/>
    <n v="39.6875"/>
    <x v="0"/>
    <s v="Child"/>
    <s v="Low"/>
    <n v="6"/>
  </r>
  <r>
    <x v="1"/>
    <x v="0"/>
    <s v="Goldsmith, Master. Frank John William &quot;Frankie&quot;"/>
    <x v="0"/>
    <n v="9"/>
    <n v="0"/>
    <n v="2"/>
    <n v="20.524999999999999"/>
    <x v="0"/>
    <s v="Child"/>
    <s v="Low"/>
    <n v="3"/>
  </r>
  <r>
    <x v="1"/>
    <x v="1"/>
    <s v="Chibnall, Mrs. (Edith Martha Bowerman)"/>
    <x v="1"/>
    <m/>
    <n v="0"/>
    <n v="1"/>
    <n v="55"/>
    <x v="0"/>
    <s v="Child"/>
    <s v="High"/>
    <n v="2"/>
  </r>
  <r>
    <x v="0"/>
    <x v="0"/>
    <s v="Skoog, Mrs. William (Anna Bernhardina Karlsson)"/>
    <x v="1"/>
    <n v="45"/>
    <n v="1"/>
    <n v="4"/>
    <n v="27.9"/>
    <x v="0"/>
    <s v="Adult"/>
    <s v="Low"/>
    <n v="6"/>
  </r>
  <r>
    <x v="0"/>
    <x v="1"/>
    <s v="Baumann, Mr. John D"/>
    <x v="0"/>
    <m/>
    <n v="0"/>
    <n v="0"/>
    <n v="25.925000000000001"/>
    <x v="0"/>
    <s v="Child"/>
    <s v="Low"/>
    <n v="1"/>
  </r>
  <r>
    <x v="0"/>
    <x v="0"/>
    <s v="Ling, Mr. Lee"/>
    <x v="0"/>
    <n v="28"/>
    <n v="0"/>
    <n v="0"/>
    <n v="56.495800000000003"/>
    <x v="0"/>
    <s v="Adult"/>
    <s v="High"/>
    <n v="1"/>
  </r>
  <r>
    <x v="0"/>
    <x v="1"/>
    <s v="Van der hoef, Mr. Wyckoff"/>
    <x v="0"/>
    <n v="61"/>
    <n v="0"/>
    <n v="0"/>
    <n v="33.5"/>
    <x v="0"/>
    <s v="Adult"/>
    <s v="Low"/>
    <n v="1"/>
  </r>
  <r>
    <x v="0"/>
    <x v="0"/>
    <s v="Rice, Master. Arthur"/>
    <x v="0"/>
    <n v="4"/>
    <n v="4"/>
    <n v="1"/>
    <n v="29.125"/>
    <x v="2"/>
    <s v="Child"/>
    <s v="Low"/>
    <n v="6"/>
  </r>
  <r>
    <x v="1"/>
    <x v="0"/>
    <s v="Johnson, Miss. Eleanor Ileen"/>
    <x v="1"/>
    <n v="1"/>
    <n v="1"/>
    <n v="1"/>
    <n v="11.1333"/>
    <x v="0"/>
    <s v="Child"/>
    <s v="Low"/>
    <n v="3"/>
  </r>
  <r>
    <x v="0"/>
    <x v="0"/>
    <s v="Sivola, Mr. Antti Wilhelm"/>
    <x v="0"/>
    <n v="21"/>
    <n v="0"/>
    <n v="0"/>
    <n v="7.9249999999999998"/>
    <x v="0"/>
    <s v="Adult"/>
    <s v="Low"/>
    <n v="1"/>
  </r>
  <r>
    <x v="0"/>
    <x v="1"/>
    <s v="Smith, Mr. James Clinch"/>
    <x v="0"/>
    <n v="56"/>
    <n v="0"/>
    <n v="0"/>
    <n v="30.695799999999998"/>
    <x v="1"/>
    <s v="Adult"/>
    <s v="Low"/>
    <n v="1"/>
  </r>
  <r>
    <x v="0"/>
    <x v="0"/>
    <s v="Klasen, Mr. Klas Albin"/>
    <x v="0"/>
    <n v="18"/>
    <n v="1"/>
    <n v="1"/>
    <n v="7.8541999999999996"/>
    <x v="0"/>
    <s v="Adult"/>
    <s v="Low"/>
    <n v="3"/>
  </r>
  <r>
    <x v="0"/>
    <x v="0"/>
    <s v="Lefebre, Master. Henry Forbes"/>
    <x v="0"/>
    <m/>
    <n v="3"/>
    <n v="1"/>
    <n v="25.466699999999999"/>
    <x v="0"/>
    <s v="Child"/>
    <s v="Low"/>
    <n v="5"/>
  </r>
  <r>
    <x v="0"/>
    <x v="1"/>
    <s v="Isham, Miss. Ann Elizabeth"/>
    <x v="1"/>
    <n v="50"/>
    <n v="0"/>
    <n v="0"/>
    <n v="28.712499999999999"/>
    <x v="1"/>
    <s v="Adult"/>
    <s v="Low"/>
    <n v="1"/>
  </r>
  <r>
    <x v="0"/>
    <x v="2"/>
    <s v="Hale, Mr. Reginald"/>
    <x v="0"/>
    <n v="30"/>
    <n v="0"/>
    <n v="0"/>
    <n v="13"/>
    <x v="0"/>
    <s v="Adult"/>
    <s v="Low"/>
    <n v="1"/>
  </r>
  <r>
    <x v="0"/>
    <x v="0"/>
    <s v="Leonard, Mr. Lionel"/>
    <x v="0"/>
    <n v="36"/>
    <n v="0"/>
    <n v="0"/>
    <n v="0"/>
    <x v="0"/>
    <s v="Adult"/>
    <s v="Low"/>
    <n v="1"/>
  </r>
  <r>
    <x v="0"/>
    <x v="0"/>
    <s v="Sage, Miss. Constance Gladys"/>
    <x v="1"/>
    <m/>
    <n v="8"/>
    <n v="2"/>
    <n v="69.55"/>
    <x v="0"/>
    <s v="Child"/>
    <s v="High"/>
    <n v="11"/>
  </r>
  <r>
    <x v="0"/>
    <x v="2"/>
    <s v="Pernot, Mr. Rene"/>
    <x v="0"/>
    <m/>
    <n v="0"/>
    <n v="0"/>
    <n v="15.05"/>
    <x v="1"/>
    <s v="Child"/>
    <s v="Low"/>
    <n v="1"/>
  </r>
  <r>
    <x v="0"/>
    <x v="0"/>
    <s v="Asplund, Master. Clarence Gustaf Hugo"/>
    <x v="0"/>
    <n v="9"/>
    <n v="4"/>
    <n v="2"/>
    <n v="31.387499999999999"/>
    <x v="0"/>
    <s v="Child"/>
    <s v="Low"/>
    <n v="7"/>
  </r>
  <r>
    <x v="1"/>
    <x v="2"/>
    <s v="Becker, Master. Richard F"/>
    <x v="0"/>
    <n v="1"/>
    <n v="2"/>
    <n v="1"/>
    <n v="39"/>
    <x v="0"/>
    <s v="Child"/>
    <s v="Low"/>
    <n v="4"/>
  </r>
  <r>
    <x v="1"/>
    <x v="0"/>
    <s v="Kink-Heilmann, Miss. Luise Gretchen"/>
    <x v="1"/>
    <n v="4"/>
    <n v="0"/>
    <n v="2"/>
    <n v="22.024999999999999"/>
    <x v="0"/>
    <s v="Child"/>
    <s v="Low"/>
    <n v="3"/>
  </r>
  <r>
    <x v="0"/>
    <x v="1"/>
    <s v="Rood, Mr. Hugh Roscoe"/>
    <x v="0"/>
    <m/>
    <n v="0"/>
    <n v="0"/>
    <n v="50"/>
    <x v="0"/>
    <s v="Child"/>
    <s v="Low"/>
    <n v="1"/>
  </r>
  <r>
    <x v="1"/>
    <x v="0"/>
    <s v="O'Brien, Mrs. Thomas (Johanna &quot;Hannah&quot; Godfrey)"/>
    <x v="1"/>
    <m/>
    <n v="1"/>
    <n v="0"/>
    <n v="15.5"/>
    <x v="2"/>
    <s v="Child"/>
    <s v="Low"/>
    <n v="2"/>
  </r>
  <r>
    <x v="1"/>
    <x v="1"/>
    <s v="Romaine, Mr. Charles Hallace (&quot;Mr C Rolmane&quot;)"/>
    <x v="0"/>
    <n v="45"/>
    <n v="0"/>
    <n v="0"/>
    <n v="26.55"/>
    <x v="0"/>
    <s v="Adult"/>
    <s v="Low"/>
    <n v="1"/>
  </r>
  <r>
    <x v="0"/>
    <x v="0"/>
    <s v="Bourke, Mr. John"/>
    <x v="0"/>
    <n v="40"/>
    <n v="1"/>
    <n v="1"/>
    <n v="15.5"/>
    <x v="2"/>
    <s v="Adult"/>
    <s v="Low"/>
    <n v="3"/>
  </r>
  <r>
    <x v="0"/>
    <x v="0"/>
    <s v="Turcin, Mr. Stjepan"/>
    <x v="0"/>
    <n v="36"/>
    <n v="0"/>
    <n v="0"/>
    <n v="7.8958000000000004"/>
    <x v="0"/>
    <s v="Adult"/>
    <s v="Low"/>
    <n v="1"/>
  </r>
  <r>
    <x v="1"/>
    <x v="2"/>
    <s v="Pinsky, Mrs. (Rosa)"/>
    <x v="1"/>
    <n v="32"/>
    <n v="0"/>
    <n v="0"/>
    <n v="13"/>
    <x v="0"/>
    <s v="Adult"/>
    <s v="Low"/>
    <n v="1"/>
  </r>
  <r>
    <x v="0"/>
    <x v="2"/>
    <s v="Carbines, Mr. William"/>
    <x v="0"/>
    <n v="19"/>
    <n v="0"/>
    <n v="0"/>
    <n v="13"/>
    <x v="0"/>
    <s v="Adult"/>
    <s v="Low"/>
    <n v="1"/>
  </r>
  <r>
    <x v="1"/>
    <x v="0"/>
    <s v="Andersen-Jensen, Miss. Carla Christine Nielsine"/>
    <x v="1"/>
    <n v="19"/>
    <n v="1"/>
    <n v="0"/>
    <n v="7.8541999999999996"/>
    <x v="0"/>
    <s v="Adult"/>
    <s v="Low"/>
    <n v="2"/>
  </r>
  <r>
    <x v="1"/>
    <x v="2"/>
    <s v="Navratil, Master. Michel M"/>
    <x v="0"/>
    <n v="3"/>
    <n v="1"/>
    <n v="1"/>
    <n v="26"/>
    <x v="0"/>
    <s v="Child"/>
    <s v="Low"/>
    <n v="3"/>
  </r>
  <r>
    <x v="1"/>
    <x v="1"/>
    <s v="Brown, Mrs. James Joseph (Margaret Tobin)"/>
    <x v="1"/>
    <n v="44"/>
    <n v="0"/>
    <n v="0"/>
    <n v="27.720800000000001"/>
    <x v="1"/>
    <s v="Adult"/>
    <s v="Low"/>
    <n v="1"/>
  </r>
  <r>
    <x v="1"/>
    <x v="1"/>
    <s v="Lurette, Miss. Elise"/>
    <x v="1"/>
    <n v="58"/>
    <n v="0"/>
    <n v="0"/>
    <n v="146.52080000000001"/>
    <x v="1"/>
    <s v="Adult"/>
    <s v="High"/>
    <n v="1"/>
  </r>
  <r>
    <x v="0"/>
    <x v="0"/>
    <s v="Mernagh, Mr. Robert"/>
    <x v="0"/>
    <m/>
    <n v="0"/>
    <n v="0"/>
    <n v="7.75"/>
    <x v="2"/>
    <s v="Child"/>
    <s v="Low"/>
    <n v="1"/>
  </r>
  <r>
    <x v="0"/>
    <x v="0"/>
    <s v="Olsen, Mr. Karl Siegwart Andreas"/>
    <x v="0"/>
    <n v="42"/>
    <n v="0"/>
    <n v="1"/>
    <n v="8.4041999999999994"/>
    <x v="0"/>
    <s v="Adult"/>
    <s v="Low"/>
    <n v="2"/>
  </r>
  <r>
    <x v="1"/>
    <x v="0"/>
    <s v="Madigan, Miss. Margaret &quot;Maggie&quot;"/>
    <x v="1"/>
    <m/>
    <n v="0"/>
    <n v="0"/>
    <n v="7.75"/>
    <x v="2"/>
    <s v="Child"/>
    <s v="Low"/>
    <n v="1"/>
  </r>
  <r>
    <x v="0"/>
    <x v="2"/>
    <s v="Yrois, Miss. Henriette (&quot;Mrs Harbeck&quot;)"/>
    <x v="1"/>
    <n v="24"/>
    <n v="0"/>
    <n v="0"/>
    <n v="13"/>
    <x v="0"/>
    <s v="Adult"/>
    <s v="Low"/>
    <n v="1"/>
  </r>
  <r>
    <x v="0"/>
    <x v="0"/>
    <s v="Vande Walle, Mr. Nestor Cyriel"/>
    <x v="0"/>
    <n v="28"/>
    <n v="0"/>
    <n v="0"/>
    <n v="9.5"/>
    <x v="0"/>
    <s v="Adult"/>
    <s v="Low"/>
    <n v="1"/>
  </r>
  <r>
    <x v="0"/>
    <x v="0"/>
    <s v="Sage, Mr. Frederick"/>
    <x v="0"/>
    <m/>
    <n v="8"/>
    <n v="2"/>
    <n v="69.55"/>
    <x v="0"/>
    <s v="Child"/>
    <s v="High"/>
    <n v="11"/>
  </r>
  <r>
    <x v="0"/>
    <x v="0"/>
    <s v="Johanson, Mr. Jakob Alfred"/>
    <x v="0"/>
    <n v="34"/>
    <n v="0"/>
    <n v="0"/>
    <n v="6.4958"/>
    <x v="0"/>
    <s v="Adult"/>
    <s v="Low"/>
    <n v="1"/>
  </r>
  <r>
    <x v="0"/>
    <x v="0"/>
    <s v="Youseff, Mr. Gerious"/>
    <x v="0"/>
    <n v="45.5"/>
    <n v="0"/>
    <n v="0"/>
    <n v="7.2249999999999996"/>
    <x v="1"/>
    <s v="Adult"/>
    <s v="Low"/>
    <n v="1"/>
  </r>
  <r>
    <x v="1"/>
    <x v="0"/>
    <s v="Cohen, Mr. Gurshon &quot;Gus&quot;"/>
    <x v="0"/>
    <n v="18"/>
    <n v="0"/>
    <n v="0"/>
    <n v="8.0500000000000007"/>
    <x v="0"/>
    <s v="Adult"/>
    <s v="Low"/>
    <n v="1"/>
  </r>
  <r>
    <x v="0"/>
    <x v="0"/>
    <s v="Strom, Miss. Telma Matilda"/>
    <x v="1"/>
    <n v="2"/>
    <n v="0"/>
    <n v="1"/>
    <n v="10.4625"/>
    <x v="0"/>
    <s v="Child"/>
    <s v="Low"/>
    <n v="2"/>
  </r>
  <r>
    <x v="0"/>
    <x v="0"/>
    <s v="Backstrom, Mr. Karl Alfred"/>
    <x v="0"/>
    <n v="32"/>
    <n v="1"/>
    <n v="0"/>
    <n v="15.85"/>
    <x v="0"/>
    <s v="Adult"/>
    <s v="Low"/>
    <n v="2"/>
  </r>
  <r>
    <x v="1"/>
    <x v="0"/>
    <s v="Albimona, Mr. Nassef Cassem"/>
    <x v="0"/>
    <n v="26"/>
    <n v="0"/>
    <n v="0"/>
    <n v="18.787500000000001"/>
    <x v="1"/>
    <s v="Adult"/>
    <s v="Low"/>
    <n v="1"/>
  </r>
  <r>
    <x v="1"/>
    <x v="0"/>
    <s v="Carr, Miss. Helen &quot;Ellen&quot;"/>
    <x v="1"/>
    <n v="16"/>
    <n v="0"/>
    <n v="0"/>
    <n v="7.75"/>
    <x v="2"/>
    <s v="Child"/>
    <s v="Low"/>
    <n v="1"/>
  </r>
  <r>
    <x v="1"/>
    <x v="1"/>
    <s v="Blank, Mr. Henry"/>
    <x v="0"/>
    <n v="40"/>
    <n v="0"/>
    <n v="0"/>
    <n v="31"/>
    <x v="1"/>
    <s v="Adult"/>
    <s v="Low"/>
    <n v="1"/>
  </r>
  <r>
    <x v="0"/>
    <x v="0"/>
    <s v="Ali, Mr. Ahmed"/>
    <x v="0"/>
    <n v="24"/>
    <n v="0"/>
    <n v="0"/>
    <n v="7.05"/>
    <x v="0"/>
    <s v="Adult"/>
    <s v="Low"/>
    <n v="1"/>
  </r>
  <r>
    <x v="1"/>
    <x v="2"/>
    <s v="Cameron, Miss. Clear Annie"/>
    <x v="1"/>
    <n v="35"/>
    <n v="0"/>
    <n v="0"/>
    <n v="21"/>
    <x v="0"/>
    <s v="Adult"/>
    <s v="Low"/>
    <n v="1"/>
  </r>
  <r>
    <x v="0"/>
    <x v="0"/>
    <s v="Perkin, Mr. John Henry"/>
    <x v="0"/>
    <n v="22"/>
    <n v="0"/>
    <n v="0"/>
    <n v="7.25"/>
    <x v="0"/>
    <s v="Adult"/>
    <s v="Low"/>
    <n v="1"/>
  </r>
  <r>
    <x v="0"/>
    <x v="2"/>
    <s v="Givard, Mr. Hans Kristensen"/>
    <x v="0"/>
    <n v="30"/>
    <n v="0"/>
    <n v="0"/>
    <n v="13"/>
    <x v="0"/>
    <s v="Adult"/>
    <s v="Low"/>
    <n v="1"/>
  </r>
  <r>
    <x v="0"/>
    <x v="0"/>
    <s v="Kiernan, Mr. Philip"/>
    <x v="0"/>
    <m/>
    <n v="1"/>
    <n v="0"/>
    <n v="7.75"/>
    <x v="2"/>
    <s v="Child"/>
    <s v="Low"/>
    <n v="2"/>
  </r>
  <r>
    <x v="1"/>
    <x v="1"/>
    <s v="Newell, Miss. Madeleine"/>
    <x v="1"/>
    <n v="31"/>
    <n v="1"/>
    <n v="0"/>
    <n v="113.27500000000001"/>
    <x v="1"/>
    <s v="Adult"/>
    <s v="High"/>
    <n v="2"/>
  </r>
  <r>
    <x v="1"/>
    <x v="0"/>
    <s v="Honkanen, Miss. Eliina"/>
    <x v="1"/>
    <n v="27"/>
    <n v="0"/>
    <n v="0"/>
    <n v="7.9249999999999998"/>
    <x v="0"/>
    <s v="Adult"/>
    <s v="Low"/>
    <n v="1"/>
  </r>
  <r>
    <x v="0"/>
    <x v="2"/>
    <s v="Jacobsohn, Mr. Sidney Samuel"/>
    <x v="0"/>
    <n v="42"/>
    <n v="1"/>
    <n v="0"/>
    <n v="27"/>
    <x v="0"/>
    <s v="Adult"/>
    <s v="Low"/>
    <n v="2"/>
  </r>
  <r>
    <x v="1"/>
    <x v="1"/>
    <s v="Bazzani, Miss. Albina"/>
    <x v="1"/>
    <n v="32"/>
    <n v="0"/>
    <n v="0"/>
    <n v="76.291700000000006"/>
    <x v="1"/>
    <s v="Adult"/>
    <s v="High"/>
    <n v="1"/>
  </r>
  <r>
    <x v="0"/>
    <x v="2"/>
    <s v="Harris, Mr. Walter"/>
    <x v="0"/>
    <n v="30"/>
    <n v="0"/>
    <n v="0"/>
    <n v="10.5"/>
    <x v="0"/>
    <s v="Adult"/>
    <s v="Low"/>
    <n v="1"/>
  </r>
  <r>
    <x v="1"/>
    <x v="0"/>
    <s v="Sunderland, Mr. Victor Francis"/>
    <x v="0"/>
    <n v="16"/>
    <n v="0"/>
    <n v="0"/>
    <n v="8.0500000000000007"/>
    <x v="0"/>
    <s v="Child"/>
    <s v="Low"/>
    <n v="1"/>
  </r>
  <r>
    <x v="0"/>
    <x v="2"/>
    <s v="Bracken, Mr. James H"/>
    <x v="0"/>
    <n v="27"/>
    <n v="0"/>
    <n v="0"/>
    <n v="13"/>
    <x v="0"/>
    <s v="Adult"/>
    <s v="Low"/>
    <n v="1"/>
  </r>
  <r>
    <x v="0"/>
    <x v="0"/>
    <s v="Green, Mr. George Henry"/>
    <x v="0"/>
    <n v="51"/>
    <n v="0"/>
    <n v="0"/>
    <n v="8.0500000000000007"/>
    <x v="0"/>
    <s v="Adult"/>
    <s v="Low"/>
    <n v="1"/>
  </r>
  <r>
    <x v="0"/>
    <x v="0"/>
    <s v="Nenkoff, Mr. Christo"/>
    <x v="0"/>
    <m/>
    <n v="0"/>
    <n v="0"/>
    <n v="7.8958000000000004"/>
    <x v="0"/>
    <s v="Child"/>
    <s v="Low"/>
    <n v="1"/>
  </r>
  <r>
    <x v="1"/>
    <x v="1"/>
    <s v="Hoyt, Mr. Frederick Maxfield"/>
    <x v="0"/>
    <n v="38"/>
    <n v="1"/>
    <n v="0"/>
    <n v="90"/>
    <x v="0"/>
    <s v="Adult"/>
    <s v="High"/>
    <n v="2"/>
  </r>
  <r>
    <x v="0"/>
    <x v="0"/>
    <s v="Berglund, Mr. Karl Ivar Sven"/>
    <x v="0"/>
    <n v="22"/>
    <n v="0"/>
    <n v="0"/>
    <n v="9.35"/>
    <x v="0"/>
    <s v="Adult"/>
    <s v="Low"/>
    <n v="1"/>
  </r>
  <r>
    <x v="1"/>
    <x v="2"/>
    <s v="Mellors, Mr. William John"/>
    <x v="0"/>
    <n v="19"/>
    <n v="0"/>
    <n v="0"/>
    <n v="10.5"/>
    <x v="0"/>
    <s v="Adult"/>
    <s v="Low"/>
    <n v="1"/>
  </r>
  <r>
    <x v="0"/>
    <x v="0"/>
    <s v="Lovell, Mr. John Hall (&quot;Henry&quot;)"/>
    <x v="0"/>
    <n v="20.5"/>
    <n v="0"/>
    <n v="0"/>
    <n v="7.25"/>
    <x v="0"/>
    <s v="Adult"/>
    <s v="Low"/>
    <n v="1"/>
  </r>
  <r>
    <x v="0"/>
    <x v="2"/>
    <s v="Fahlstrom, Mr. Arne Jonas"/>
    <x v="0"/>
    <n v="18"/>
    <n v="0"/>
    <n v="0"/>
    <n v="13"/>
    <x v="0"/>
    <s v="Adult"/>
    <s v="Low"/>
    <n v="1"/>
  </r>
  <r>
    <x v="0"/>
    <x v="0"/>
    <s v="Lefebre, Miss. Mathilde"/>
    <x v="1"/>
    <m/>
    <n v="3"/>
    <n v="1"/>
    <n v="25.466699999999999"/>
    <x v="0"/>
    <s v="Child"/>
    <s v="Low"/>
    <n v="5"/>
  </r>
  <r>
    <x v="1"/>
    <x v="1"/>
    <s v="Harris, Mrs. Henry Birkhardt (Irene Wallach)"/>
    <x v="1"/>
    <n v="35"/>
    <n v="1"/>
    <n v="0"/>
    <n v="83.474999999999994"/>
    <x v="0"/>
    <s v="Adult"/>
    <s v="High"/>
    <n v="2"/>
  </r>
  <r>
    <x v="0"/>
    <x v="0"/>
    <s v="Larsson, Mr. Bengt Edvin"/>
    <x v="0"/>
    <n v="29"/>
    <n v="0"/>
    <n v="0"/>
    <n v="7.7750000000000004"/>
    <x v="0"/>
    <s v="Adult"/>
    <s v="Low"/>
    <n v="1"/>
  </r>
  <r>
    <x v="0"/>
    <x v="2"/>
    <s v="Sjostedt, Mr. Ernst Adolf"/>
    <x v="0"/>
    <n v="59"/>
    <n v="0"/>
    <n v="0"/>
    <n v="13.5"/>
    <x v="0"/>
    <s v="Adult"/>
    <s v="Low"/>
    <n v="1"/>
  </r>
  <r>
    <x v="1"/>
    <x v="0"/>
    <s v="Asplund, Miss. Lillian Gertrud"/>
    <x v="1"/>
    <n v="5"/>
    <n v="4"/>
    <n v="2"/>
    <n v="31.387499999999999"/>
    <x v="0"/>
    <s v="Child"/>
    <s v="Low"/>
    <n v="7"/>
  </r>
  <r>
    <x v="0"/>
    <x v="2"/>
    <s v="Leyson, Mr. Robert William Norman"/>
    <x v="0"/>
    <n v="24"/>
    <n v="0"/>
    <n v="0"/>
    <n v="10.5"/>
    <x v="0"/>
    <s v="Adult"/>
    <s v="Low"/>
    <n v="1"/>
  </r>
  <r>
    <x v="0"/>
    <x v="0"/>
    <s v="Harknett, Miss. Alice Phoebe"/>
    <x v="1"/>
    <m/>
    <n v="0"/>
    <n v="0"/>
    <n v="7.55"/>
    <x v="0"/>
    <s v="Child"/>
    <s v="Low"/>
    <n v="1"/>
  </r>
  <r>
    <x v="0"/>
    <x v="2"/>
    <s v="Hold, Mr. Stephen"/>
    <x v="0"/>
    <n v="44"/>
    <n v="1"/>
    <n v="0"/>
    <n v="26"/>
    <x v="0"/>
    <s v="Adult"/>
    <s v="Low"/>
    <n v="2"/>
  </r>
  <r>
    <x v="1"/>
    <x v="2"/>
    <s v="Collyer, Miss. Marjorie &quot;Lottie&quot;"/>
    <x v="1"/>
    <n v="8"/>
    <n v="0"/>
    <n v="2"/>
    <n v="26.25"/>
    <x v="0"/>
    <s v="Child"/>
    <s v="Low"/>
    <n v="3"/>
  </r>
  <r>
    <x v="0"/>
    <x v="2"/>
    <s v="Pengelly, Mr. Frederick William"/>
    <x v="0"/>
    <n v="19"/>
    <n v="0"/>
    <n v="0"/>
    <n v="10.5"/>
    <x v="0"/>
    <s v="Adult"/>
    <s v="Low"/>
    <n v="1"/>
  </r>
  <r>
    <x v="0"/>
    <x v="2"/>
    <s v="Hunt, Mr. George Henry"/>
    <x v="0"/>
    <n v="33"/>
    <n v="0"/>
    <n v="0"/>
    <n v="12.275"/>
    <x v="0"/>
    <s v="Adult"/>
    <s v="Low"/>
    <n v="1"/>
  </r>
  <r>
    <x v="0"/>
    <x v="0"/>
    <s v="Zabour, Miss. Thamine"/>
    <x v="1"/>
    <m/>
    <n v="1"/>
    <n v="0"/>
    <n v="14.4542"/>
    <x v="1"/>
    <s v="Child"/>
    <s v="Low"/>
    <n v="2"/>
  </r>
  <r>
    <x v="1"/>
    <x v="0"/>
    <s v="Murphy, Miss. Katherine &quot;Kate&quot;"/>
    <x v="1"/>
    <m/>
    <n v="1"/>
    <n v="0"/>
    <n v="15.5"/>
    <x v="2"/>
    <s v="Child"/>
    <s v="Low"/>
    <n v="2"/>
  </r>
  <r>
    <x v="0"/>
    <x v="2"/>
    <s v="Coleridge, Mr. Reginald Charles"/>
    <x v="0"/>
    <n v="29"/>
    <n v="0"/>
    <n v="0"/>
    <n v="10.5"/>
    <x v="0"/>
    <s v="Adult"/>
    <s v="Low"/>
    <n v="1"/>
  </r>
  <r>
    <x v="0"/>
    <x v="0"/>
    <s v="Maenpaa, Mr. Matti Alexanteri"/>
    <x v="0"/>
    <n v="22"/>
    <n v="0"/>
    <n v="0"/>
    <n v="7.125"/>
    <x v="0"/>
    <s v="Adult"/>
    <s v="Low"/>
    <n v="1"/>
  </r>
  <r>
    <x v="0"/>
    <x v="0"/>
    <s v="Attalah, Mr. Sleiman"/>
    <x v="0"/>
    <n v="30"/>
    <n v="0"/>
    <n v="0"/>
    <n v="7.2249999999999996"/>
    <x v="1"/>
    <s v="Adult"/>
    <s v="Low"/>
    <n v="1"/>
  </r>
  <r>
    <x v="0"/>
    <x v="1"/>
    <s v="Minahan, Dr. William Edward"/>
    <x v="0"/>
    <n v="44"/>
    <n v="2"/>
    <n v="0"/>
    <n v="90"/>
    <x v="2"/>
    <s v="Adult"/>
    <s v="High"/>
    <n v="3"/>
  </r>
  <r>
    <x v="0"/>
    <x v="0"/>
    <s v="Lindahl, Miss. Agda Thorilda Viktoria"/>
    <x v="1"/>
    <n v="25"/>
    <n v="0"/>
    <n v="0"/>
    <n v="7.7750000000000004"/>
    <x v="0"/>
    <s v="Adult"/>
    <s v="Low"/>
    <n v="1"/>
  </r>
  <r>
    <x v="1"/>
    <x v="2"/>
    <s v="Hamalainen, Mrs. William (Anna)"/>
    <x v="1"/>
    <n v="24"/>
    <n v="0"/>
    <n v="2"/>
    <n v="14.5"/>
    <x v="0"/>
    <s v="Adult"/>
    <s v="Low"/>
    <n v="3"/>
  </r>
  <r>
    <x v="1"/>
    <x v="1"/>
    <s v="Beckwith, Mr. Richard Leonard"/>
    <x v="0"/>
    <n v="37"/>
    <n v="1"/>
    <n v="1"/>
    <n v="52.554200000000002"/>
    <x v="0"/>
    <s v="Adult"/>
    <s v="High"/>
    <n v="3"/>
  </r>
  <r>
    <x v="0"/>
    <x v="2"/>
    <s v="Carter, Rev. Ernest Courtenay"/>
    <x v="0"/>
    <n v="54"/>
    <n v="1"/>
    <n v="0"/>
    <n v="26"/>
    <x v="0"/>
    <s v="Adult"/>
    <s v="Low"/>
    <n v="2"/>
  </r>
  <r>
    <x v="0"/>
    <x v="0"/>
    <s v="Reed, Mr. James George"/>
    <x v="0"/>
    <m/>
    <n v="0"/>
    <n v="0"/>
    <n v="7.25"/>
    <x v="0"/>
    <s v="Child"/>
    <s v="Low"/>
    <n v="1"/>
  </r>
  <r>
    <x v="0"/>
    <x v="0"/>
    <s v="Strom, Mrs. Wilhelm (Elna Matilda Persson)"/>
    <x v="1"/>
    <n v="29"/>
    <n v="1"/>
    <n v="1"/>
    <n v="10.4625"/>
    <x v="0"/>
    <s v="Adult"/>
    <s v="Low"/>
    <n v="3"/>
  </r>
  <r>
    <x v="0"/>
    <x v="1"/>
    <s v="Stead, Mr. William Thomas"/>
    <x v="0"/>
    <n v="62"/>
    <n v="0"/>
    <n v="0"/>
    <n v="26.55"/>
    <x v="0"/>
    <s v="Adult"/>
    <s v="Low"/>
    <n v="1"/>
  </r>
  <r>
    <x v="0"/>
    <x v="0"/>
    <s v="Lobb, Mr. William Arthur"/>
    <x v="0"/>
    <n v="30"/>
    <n v="1"/>
    <n v="0"/>
    <n v="16.100000000000001"/>
    <x v="0"/>
    <s v="Adult"/>
    <s v="Low"/>
    <n v="2"/>
  </r>
  <r>
    <x v="0"/>
    <x v="0"/>
    <s v="Rosblom, Mrs. Viktor (Helena Wilhelmina)"/>
    <x v="1"/>
    <n v="41"/>
    <n v="0"/>
    <n v="2"/>
    <n v="20.212499999999999"/>
    <x v="0"/>
    <s v="Adult"/>
    <s v="Low"/>
    <n v="3"/>
  </r>
  <r>
    <x v="1"/>
    <x v="0"/>
    <s v="Touma, Mrs. Darwis (Hanne Youssef Razi)"/>
    <x v="1"/>
    <n v="29"/>
    <n v="0"/>
    <n v="2"/>
    <n v="15.245799999999999"/>
    <x v="1"/>
    <s v="Adult"/>
    <s v="Low"/>
    <n v="3"/>
  </r>
  <r>
    <x v="1"/>
    <x v="1"/>
    <s v="Thorne, Mrs. Gertrude Maybelle"/>
    <x v="1"/>
    <m/>
    <n v="0"/>
    <n v="0"/>
    <n v="79.2"/>
    <x v="1"/>
    <s v="Child"/>
    <s v="High"/>
    <n v="1"/>
  </r>
  <r>
    <x v="1"/>
    <x v="1"/>
    <s v="Cherry, Miss. Gladys"/>
    <x v="1"/>
    <n v="30"/>
    <n v="0"/>
    <n v="0"/>
    <n v="86.5"/>
    <x v="0"/>
    <s v="Adult"/>
    <s v="High"/>
    <n v="1"/>
  </r>
  <r>
    <x v="1"/>
    <x v="1"/>
    <s v="Ward, Miss. Anna"/>
    <x v="1"/>
    <n v="35"/>
    <n v="0"/>
    <n v="0"/>
    <n v="512.32920000000001"/>
    <x v="1"/>
    <s v="Adult"/>
    <s v="High"/>
    <n v="1"/>
  </r>
  <r>
    <x v="1"/>
    <x v="2"/>
    <s v="Parrish, Mrs. (Lutie Davis)"/>
    <x v="1"/>
    <n v="50"/>
    <n v="0"/>
    <n v="1"/>
    <n v="26"/>
    <x v="0"/>
    <s v="Adult"/>
    <s v="Low"/>
    <n v="2"/>
  </r>
  <r>
    <x v="0"/>
    <x v="0"/>
    <s v="Smith, Mr. Thomas"/>
    <x v="0"/>
    <m/>
    <n v="0"/>
    <n v="0"/>
    <n v="7.75"/>
    <x v="2"/>
    <s v="Child"/>
    <s v="Low"/>
    <n v="1"/>
  </r>
  <r>
    <x v="1"/>
    <x v="0"/>
    <s v="Asplund, Master. Edvin Rojj Felix"/>
    <x v="0"/>
    <n v="3"/>
    <n v="4"/>
    <n v="2"/>
    <n v="31.387499999999999"/>
    <x v="0"/>
    <s v="Child"/>
    <s v="Low"/>
    <n v="7"/>
  </r>
  <r>
    <x v="0"/>
    <x v="1"/>
    <s v="Taussig, Mr. Emil"/>
    <x v="0"/>
    <n v="52"/>
    <n v="1"/>
    <n v="1"/>
    <n v="79.650000000000006"/>
    <x v="0"/>
    <s v="Adult"/>
    <s v="High"/>
    <n v="3"/>
  </r>
  <r>
    <x v="0"/>
    <x v="1"/>
    <s v="Harrison, Mr. William"/>
    <x v="0"/>
    <n v="40"/>
    <n v="0"/>
    <n v="0"/>
    <n v="0"/>
    <x v="0"/>
    <s v="Adult"/>
    <s v="Low"/>
    <n v="1"/>
  </r>
  <r>
    <x v="0"/>
    <x v="0"/>
    <s v="Henry, Miss. Delia"/>
    <x v="1"/>
    <m/>
    <n v="0"/>
    <n v="0"/>
    <n v="7.75"/>
    <x v="2"/>
    <s v="Child"/>
    <s v="Low"/>
    <n v="1"/>
  </r>
  <r>
    <x v="0"/>
    <x v="2"/>
    <s v="Reeves, Mr. David"/>
    <x v="0"/>
    <n v="36"/>
    <n v="0"/>
    <n v="0"/>
    <n v="10.5"/>
    <x v="0"/>
    <s v="Adult"/>
    <s v="Low"/>
    <n v="1"/>
  </r>
  <r>
    <x v="0"/>
    <x v="0"/>
    <s v="Panula, Mr. Ernesti Arvid"/>
    <x v="0"/>
    <n v="16"/>
    <n v="4"/>
    <n v="1"/>
    <n v="39.6875"/>
    <x v="0"/>
    <s v="Child"/>
    <s v="Low"/>
    <n v="6"/>
  </r>
  <r>
    <x v="1"/>
    <x v="0"/>
    <s v="Persson, Mr. Ernst Ulrik"/>
    <x v="0"/>
    <n v="25"/>
    <n v="1"/>
    <n v="0"/>
    <n v="7.7750000000000004"/>
    <x v="0"/>
    <s v="Adult"/>
    <s v="Low"/>
    <n v="2"/>
  </r>
  <r>
    <x v="1"/>
    <x v="1"/>
    <s v="Graham, Mrs. William Thompson (Edith Junkins)"/>
    <x v="1"/>
    <n v="58"/>
    <n v="0"/>
    <n v="1"/>
    <n v="153.46250000000001"/>
    <x v="0"/>
    <s v="Adult"/>
    <s v="High"/>
    <n v="2"/>
  </r>
  <r>
    <x v="1"/>
    <x v="1"/>
    <s v="Bissette, Miss. Amelia"/>
    <x v="1"/>
    <n v="35"/>
    <n v="0"/>
    <n v="0"/>
    <n v="135.63329999999999"/>
    <x v="0"/>
    <s v="Adult"/>
    <s v="High"/>
    <n v="1"/>
  </r>
  <r>
    <x v="0"/>
    <x v="1"/>
    <s v="Cairns, Mr. Alexander"/>
    <x v="0"/>
    <m/>
    <n v="0"/>
    <n v="0"/>
    <n v="31"/>
    <x v="0"/>
    <s v="Child"/>
    <s v="Low"/>
    <n v="1"/>
  </r>
  <r>
    <x v="1"/>
    <x v="0"/>
    <s v="Tornquist, Mr. William Henry"/>
    <x v="0"/>
    <n v="25"/>
    <n v="0"/>
    <n v="0"/>
    <n v="0"/>
    <x v="0"/>
    <s v="Adult"/>
    <s v="Low"/>
    <n v="1"/>
  </r>
  <r>
    <x v="1"/>
    <x v="2"/>
    <s v="Mellinger, Mrs. (Elizabeth Anne Maidment)"/>
    <x v="1"/>
    <n v="41"/>
    <n v="0"/>
    <n v="1"/>
    <n v="19.5"/>
    <x v="0"/>
    <s v="Adult"/>
    <s v="Low"/>
    <n v="2"/>
  </r>
  <r>
    <x v="0"/>
    <x v="1"/>
    <s v="Natsch, Mr. Charles H"/>
    <x v="0"/>
    <n v="37"/>
    <n v="0"/>
    <n v="1"/>
    <n v="29.7"/>
    <x v="1"/>
    <s v="Adult"/>
    <s v="Low"/>
    <n v="2"/>
  </r>
  <r>
    <x v="1"/>
    <x v="0"/>
    <s v="Healy, Miss. Hanora &quot;Nora&quot;"/>
    <x v="1"/>
    <m/>
    <n v="0"/>
    <n v="0"/>
    <n v="7.75"/>
    <x v="2"/>
    <s v="Child"/>
    <s v="Low"/>
    <n v="1"/>
  </r>
  <r>
    <x v="1"/>
    <x v="1"/>
    <s v="Andrews, Miss. Kornelia Theodosia"/>
    <x v="1"/>
    <n v="63"/>
    <n v="1"/>
    <n v="0"/>
    <n v="77.958299999999994"/>
    <x v="0"/>
    <s v="Adult"/>
    <s v="High"/>
    <n v="2"/>
  </r>
  <r>
    <x v="0"/>
    <x v="0"/>
    <s v="Lindblom, Miss. Augusta Charlotta"/>
    <x v="1"/>
    <n v="45"/>
    <n v="0"/>
    <n v="0"/>
    <n v="7.75"/>
    <x v="0"/>
    <s v="Adult"/>
    <s v="Low"/>
    <n v="1"/>
  </r>
  <r>
    <x v="0"/>
    <x v="2"/>
    <s v="Parkes, Mr. Francis &quot;Frank&quot;"/>
    <x v="0"/>
    <m/>
    <n v="0"/>
    <n v="0"/>
    <n v="0"/>
    <x v="0"/>
    <s v="Child"/>
    <s v="Low"/>
    <n v="1"/>
  </r>
  <r>
    <x v="0"/>
    <x v="0"/>
    <s v="Rice, Master. Eric"/>
    <x v="0"/>
    <n v="7"/>
    <n v="4"/>
    <n v="1"/>
    <n v="29.125"/>
    <x v="2"/>
    <s v="Child"/>
    <s v="Low"/>
    <n v="6"/>
  </r>
  <r>
    <x v="1"/>
    <x v="0"/>
    <s v="Abbott, Mrs. Stanton (Rosa Hunt)"/>
    <x v="1"/>
    <n v="35"/>
    <n v="1"/>
    <n v="1"/>
    <n v="20.25"/>
    <x v="0"/>
    <s v="Adult"/>
    <s v="Low"/>
    <n v="3"/>
  </r>
  <r>
    <x v="0"/>
    <x v="0"/>
    <s v="Duane, Mr. Frank"/>
    <x v="0"/>
    <n v="65"/>
    <n v="0"/>
    <n v="0"/>
    <n v="7.75"/>
    <x v="2"/>
    <s v="Adult"/>
    <s v="Low"/>
    <n v="1"/>
  </r>
  <r>
    <x v="0"/>
    <x v="0"/>
    <s v="Olsson, Mr. Nils Johan Goransson"/>
    <x v="0"/>
    <n v="28"/>
    <n v="0"/>
    <n v="0"/>
    <n v="7.8541999999999996"/>
    <x v="0"/>
    <s v="Adult"/>
    <s v="Low"/>
    <n v="1"/>
  </r>
  <r>
    <x v="0"/>
    <x v="0"/>
    <s v="de Pelsmaeker, Mr. Alfons"/>
    <x v="0"/>
    <n v="16"/>
    <n v="0"/>
    <n v="0"/>
    <n v="9.5"/>
    <x v="0"/>
    <s v="Child"/>
    <s v="Low"/>
    <n v="1"/>
  </r>
  <r>
    <x v="1"/>
    <x v="0"/>
    <s v="Dorking, Mr. Edward Arthur"/>
    <x v="0"/>
    <n v="19"/>
    <n v="0"/>
    <n v="0"/>
    <n v="8.0500000000000007"/>
    <x v="0"/>
    <s v="Adult"/>
    <s v="Low"/>
    <n v="1"/>
  </r>
  <r>
    <x v="0"/>
    <x v="1"/>
    <s v="Smith, Mr. Richard William"/>
    <x v="0"/>
    <m/>
    <n v="0"/>
    <n v="0"/>
    <n v="26"/>
    <x v="0"/>
    <s v="Child"/>
    <s v="Low"/>
    <n v="1"/>
  </r>
  <r>
    <x v="0"/>
    <x v="0"/>
    <s v="Stankovic, Mr. Ivan"/>
    <x v="0"/>
    <n v="33"/>
    <n v="0"/>
    <n v="0"/>
    <n v="8.6624999999999996"/>
    <x v="1"/>
    <s v="Adult"/>
    <s v="Low"/>
    <n v="1"/>
  </r>
  <r>
    <x v="1"/>
    <x v="0"/>
    <s v="de Mulder, Mr. Theodore"/>
    <x v="0"/>
    <n v="30"/>
    <n v="0"/>
    <n v="0"/>
    <n v="9.5"/>
    <x v="0"/>
    <s v="Adult"/>
    <s v="Low"/>
    <n v="1"/>
  </r>
  <r>
    <x v="0"/>
    <x v="0"/>
    <s v="Naidenoff, Mr. Penko"/>
    <x v="0"/>
    <n v="22"/>
    <n v="0"/>
    <n v="0"/>
    <n v="7.8958000000000004"/>
    <x v="0"/>
    <s v="Adult"/>
    <s v="Low"/>
    <n v="1"/>
  </r>
  <r>
    <x v="1"/>
    <x v="2"/>
    <s v="Hosono, Mr. Masabumi"/>
    <x v="0"/>
    <n v="42"/>
    <n v="0"/>
    <n v="0"/>
    <n v="13"/>
    <x v="0"/>
    <s v="Adult"/>
    <s v="Low"/>
    <n v="1"/>
  </r>
  <r>
    <x v="1"/>
    <x v="0"/>
    <s v="Connolly, Miss. Kate"/>
    <x v="1"/>
    <n v="22"/>
    <n v="0"/>
    <n v="0"/>
    <n v="7.75"/>
    <x v="2"/>
    <s v="Adult"/>
    <s v="Low"/>
    <n v="1"/>
  </r>
  <r>
    <x v="1"/>
    <x v="1"/>
    <s v="Barber, Miss. Ellen &quot;Nellie&quot;"/>
    <x v="1"/>
    <n v="26"/>
    <n v="0"/>
    <n v="0"/>
    <n v="78.849999999999994"/>
    <x v="0"/>
    <s v="Adult"/>
    <s v="High"/>
    <n v="1"/>
  </r>
  <r>
    <x v="1"/>
    <x v="1"/>
    <s v="Bishop, Mrs. Dickinson H (Helen Walton)"/>
    <x v="1"/>
    <n v="19"/>
    <n v="1"/>
    <n v="0"/>
    <n v="91.0792"/>
    <x v="1"/>
    <s v="Adult"/>
    <s v="High"/>
    <n v="2"/>
  </r>
  <r>
    <x v="0"/>
    <x v="2"/>
    <s v="Levy, Mr. Rene Jacques"/>
    <x v="0"/>
    <n v="36"/>
    <n v="0"/>
    <n v="0"/>
    <n v="12.875"/>
    <x v="1"/>
    <s v="Adult"/>
    <s v="Low"/>
    <n v="1"/>
  </r>
  <r>
    <x v="0"/>
    <x v="0"/>
    <s v="Haas, Miss. Aloisia"/>
    <x v="1"/>
    <n v="24"/>
    <n v="0"/>
    <n v="0"/>
    <n v="8.85"/>
    <x v="0"/>
    <s v="Adult"/>
    <s v="Low"/>
    <n v="1"/>
  </r>
  <r>
    <x v="0"/>
    <x v="0"/>
    <s v="Mineff, Mr. Ivan"/>
    <x v="0"/>
    <n v="24"/>
    <n v="0"/>
    <n v="0"/>
    <n v="7.8958000000000004"/>
    <x v="0"/>
    <s v="Adult"/>
    <s v="Low"/>
    <n v="1"/>
  </r>
  <r>
    <x v="0"/>
    <x v="1"/>
    <s v="Lewy, Mr. Ervin G"/>
    <x v="0"/>
    <m/>
    <n v="0"/>
    <n v="0"/>
    <n v="27.720800000000001"/>
    <x v="1"/>
    <s v="Child"/>
    <s v="Low"/>
    <n v="1"/>
  </r>
  <r>
    <x v="0"/>
    <x v="0"/>
    <s v="Hanna, Mr. Mansour"/>
    <x v="0"/>
    <n v="23.5"/>
    <n v="0"/>
    <n v="0"/>
    <n v="7.2291999999999996"/>
    <x v="1"/>
    <s v="Adult"/>
    <s v="Low"/>
    <n v="1"/>
  </r>
  <r>
    <x v="0"/>
    <x v="1"/>
    <s v="Allison, Miss. Helen Loraine"/>
    <x v="1"/>
    <n v="2"/>
    <n v="1"/>
    <n v="2"/>
    <n v="151.55000000000001"/>
    <x v="0"/>
    <s v="Child"/>
    <s v="High"/>
    <n v="4"/>
  </r>
  <r>
    <x v="1"/>
    <x v="1"/>
    <s v="Saalfeld, Mr. Adolphe"/>
    <x v="0"/>
    <m/>
    <n v="0"/>
    <n v="0"/>
    <n v="30.5"/>
    <x v="0"/>
    <s v="Child"/>
    <s v="Low"/>
    <n v="1"/>
  </r>
  <r>
    <x v="1"/>
    <x v="1"/>
    <s v="Baxter, Mrs. James (Helene DeLaudeniere Chaput)"/>
    <x v="1"/>
    <n v="50"/>
    <n v="0"/>
    <n v="1"/>
    <n v="247.52080000000001"/>
    <x v="1"/>
    <s v="Adult"/>
    <s v="High"/>
    <n v="2"/>
  </r>
  <r>
    <x v="1"/>
    <x v="0"/>
    <s v="Kelly, Miss. Anna Katherine &quot;Annie Kate&quot;"/>
    <x v="1"/>
    <m/>
    <n v="0"/>
    <n v="0"/>
    <n v="7.75"/>
    <x v="2"/>
    <s v="Child"/>
    <s v="Low"/>
    <n v="1"/>
  </r>
  <r>
    <x v="1"/>
    <x v="0"/>
    <s v="McCoy, Mr. Bernard"/>
    <x v="0"/>
    <m/>
    <n v="2"/>
    <n v="0"/>
    <n v="23.25"/>
    <x v="2"/>
    <s v="Child"/>
    <s v="Low"/>
    <n v="3"/>
  </r>
  <r>
    <x v="0"/>
    <x v="0"/>
    <s v="Johnson, Mr. William Cahoone Jr"/>
    <x v="0"/>
    <n v="19"/>
    <n v="0"/>
    <n v="0"/>
    <n v="0"/>
    <x v="0"/>
    <s v="Adult"/>
    <s v="Low"/>
    <n v="1"/>
  </r>
  <r>
    <x v="1"/>
    <x v="2"/>
    <s v="Keane, Miss. Nora A"/>
    <x v="1"/>
    <m/>
    <n v="0"/>
    <n v="0"/>
    <n v="12.35"/>
    <x v="2"/>
    <s v="Child"/>
    <s v="Low"/>
    <n v="1"/>
  </r>
  <r>
    <x v="0"/>
    <x v="0"/>
    <s v="Williams, Mr. Howard Hugh &quot;Harry&quot;"/>
    <x v="0"/>
    <m/>
    <n v="0"/>
    <n v="0"/>
    <n v="8.0500000000000007"/>
    <x v="0"/>
    <s v="Child"/>
    <s v="Low"/>
    <n v="1"/>
  </r>
  <r>
    <x v="1"/>
    <x v="1"/>
    <s v="Allison, Master. Hudson Trevor"/>
    <x v="0"/>
    <n v="0.92"/>
    <n v="1"/>
    <n v="2"/>
    <n v="151.55000000000001"/>
    <x v="0"/>
    <s v="Child"/>
    <s v="High"/>
    <n v="4"/>
  </r>
  <r>
    <x v="1"/>
    <x v="1"/>
    <s v="Fleming, Miss. Margaret"/>
    <x v="1"/>
    <m/>
    <n v="0"/>
    <n v="0"/>
    <n v="110.88330000000001"/>
    <x v="1"/>
    <s v="Child"/>
    <s v="High"/>
    <n v="1"/>
  </r>
  <r>
    <x v="1"/>
    <x v="1"/>
    <s v="Penasco y Castellana, Mrs. Victor de Satode (Maria Josefa Perez de Soto y Vallejo)"/>
    <x v="1"/>
    <n v="17"/>
    <n v="1"/>
    <n v="0"/>
    <n v="108.9"/>
    <x v="1"/>
    <s v="Child"/>
    <s v="High"/>
    <n v="2"/>
  </r>
  <r>
    <x v="0"/>
    <x v="2"/>
    <s v="Abelson, Mr. Samuel"/>
    <x v="0"/>
    <n v="30"/>
    <n v="1"/>
    <n v="0"/>
    <n v="24"/>
    <x v="1"/>
    <s v="Adult"/>
    <s v="Low"/>
    <n v="2"/>
  </r>
  <r>
    <x v="1"/>
    <x v="1"/>
    <s v="Francatelli, Miss. Laura Mabel"/>
    <x v="1"/>
    <n v="30"/>
    <n v="0"/>
    <n v="0"/>
    <n v="56.929200000000002"/>
    <x v="1"/>
    <s v="Adult"/>
    <s v="High"/>
    <n v="1"/>
  </r>
  <r>
    <x v="1"/>
    <x v="1"/>
    <s v="Hays, Miss. Margaret Bechstein"/>
    <x v="1"/>
    <n v="24"/>
    <n v="0"/>
    <n v="0"/>
    <n v="83.158299999999997"/>
    <x v="1"/>
    <s v="Adult"/>
    <s v="High"/>
    <n v="1"/>
  </r>
  <r>
    <x v="1"/>
    <x v="1"/>
    <s v="Ryerson, Miss. Emily Borie"/>
    <x v="1"/>
    <n v="18"/>
    <n v="2"/>
    <n v="2"/>
    <n v="262.375"/>
    <x v="1"/>
    <s v="Adult"/>
    <s v="High"/>
    <n v="5"/>
  </r>
  <r>
    <x v="0"/>
    <x v="2"/>
    <s v="Lahtinen, Mrs. William (Anna Sylfven)"/>
    <x v="1"/>
    <n v="26"/>
    <n v="1"/>
    <n v="1"/>
    <n v="26"/>
    <x v="0"/>
    <s v="Adult"/>
    <s v="Low"/>
    <n v="3"/>
  </r>
  <r>
    <x v="0"/>
    <x v="0"/>
    <s v="Hendekovic, Mr. Ignjac"/>
    <x v="0"/>
    <n v="28"/>
    <n v="0"/>
    <n v="0"/>
    <n v="7.8958000000000004"/>
    <x v="0"/>
    <s v="Adult"/>
    <s v="Low"/>
    <n v="1"/>
  </r>
  <r>
    <x v="0"/>
    <x v="2"/>
    <s v="Hart, Mr. Benjamin"/>
    <x v="0"/>
    <n v="43"/>
    <n v="1"/>
    <n v="1"/>
    <n v="26.25"/>
    <x v="0"/>
    <s v="Adult"/>
    <s v="Low"/>
    <n v="3"/>
  </r>
  <r>
    <x v="1"/>
    <x v="0"/>
    <s v="Nilsson, Miss. Helmina Josefina"/>
    <x v="1"/>
    <n v="26"/>
    <n v="0"/>
    <n v="0"/>
    <n v="7.8541999999999996"/>
    <x v="0"/>
    <s v="Adult"/>
    <s v="Low"/>
    <n v="1"/>
  </r>
  <r>
    <x v="1"/>
    <x v="2"/>
    <s v="Kantor, Mrs. Sinai (Miriam Sternin)"/>
    <x v="1"/>
    <n v="24"/>
    <n v="1"/>
    <n v="0"/>
    <n v="26"/>
    <x v="0"/>
    <s v="Adult"/>
    <s v="Low"/>
    <n v="2"/>
  </r>
  <r>
    <x v="0"/>
    <x v="2"/>
    <s v="Moraweck, Dr. Ernest"/>
    <x v="0"/>
    <n v="54"/>
    <n v="0"/>
    <n v="0"/>
    <n v="14"/>
    <x v="0"/>
    <s v="Adult"/>
    <s v="Low"/>
    <n v="1"/>
  </r>
  <r>
    <x v="1"/>
    <x v="1"/>
    <s v="Wick, Miss. Mary Natalie"/>
    <x v="1"/>
    <n v="31"/>
    <n v="0"/>
    <n v="2"/>
    <n v="164.86670000000001"/>
    <x v="0"/>
    <s v="Adult"/>
    <s v="High"/>
    <n v="3"/>
  </r>
  <r>
    <x v="1"/>
    <x v="1"/>
    <s v="Spedden, Mrs. Frederic Oakley (Margaretta Corning Stone)"/>
    <x v="1"/>
    <n v="40"/>
    <n v="1"/>
    <n v="1"/>
    <n v="134.5"/>
    <x v="1"/>
    <s v="Adult"/>
    <s v="High"/>
    <n v="3"/>
  </r>
  <r>
    <x v="0"/>
    <x v="0"/>
    <s v="Dennis, Mr. Samuel"/>
    <x v="0"/>
    <n v="22"/>
    <n v="0"/>
    <n v="0"/>
    <n v="7.25"/>
    <x v="0"/>
    <s v="Adult"/>
    <s v="Low"/>
    <n v="1"/>
  </r>
  <r>
    <x v="0"/>
    <x v="0"/>
    <s v="Danoff, Mr. Yoto"/>
    <x v="0"/>
    <n v="27"/>
    <n v="0"/>
    <n v="0"/>
    <n v="7.8958000000000004"/>
    <x v="0"/>
    <s v="Adult"/>
    <s v="Low"/>
    <n v="1"/>
  </r>
  <r>
    <x v="1"/>
    <x v="2"/>
    <s v="Slayter, Miss. Hilda Mary"/>
    <x v="1"/>
    <n v="30"/>
    <n v="0"/>
    <n v="0"/>
    <n v="12.35"/>
    <x v="2"/>
    <s v="Adult"/>
    <s v="Low"/>
    <n v="1"/>
  </r>
  <r>
    <x v="1"/>
    <x v="2"/>
    <s v="Caldwell, Mrs. Albert Francis (Sylvia Mae Harbaugh)"/>
    <x v="1"/>
    <n v="22"/>
    <n v="1"/>
    <n v="1"/>
    <n v="29"/>
    <x v="0"/>
    <s v="Adult"/>
    <s v="Low"/>
    <n v="3"/>
  </r>
  <r>
    <x v="0"/>
    <x v="0"/>
    <s v="Sage, Mr. George John Jr"/>
    <x v="0"/>
    <m/>
    <n v="8"/>
    <n v="2"/>
    <n v="69.55"/>
    <x v="0"/>
    <s v="Child"/>
    <s v="High"/>
    <n v="11"/>
  </r>
  <r>
    <x v="1"/>
    <x v="1"/>
    <s v="Young, Miss. Marie Grice"/>
    <x v="1"/>
    <n v="36"/>
    <n v="0"/>
    <n v="0"/>
    <n v="135.63329999999999"/>
    <x v="1"/>
    <s v="Adult"/>
    <s v="High"/>
    <n v="1"/>
  </r>
  <r>
    <x v="0"/>
    <x v="0"/>
    <s v="Nysveen, Mr. Johan Hansen"/>
    <x v="0"/>
    <n v="61"/>
    <n v="0"/>
    <n v="0"/>
    <n v="6.2374999999999998"/>
    <x v="0"/>
    <s v="Adult"/>
    <s v="Low"/>
    <n v="1"/>
  </r>
  <r>
    <x v="1"/>
    <x v="2"/>
    <s v="Ball, Mrs. (Ada E Hall)"/>
    <x v="1"/>
    <n v="36"/>
    <n v="0"/>
    <n v="0"/>
    <n v="13"/>
    <x v="0"/>
    <s v="Adult"/>
    <s v="Low"/>
    <n v="1"/>
  </r>
  <r>
    <x v="1"/>
    <x v="0"/>
    <s v="Goldsmith, Mrs. Frank John (Emily Alice Brown)"/>
    <x v="1"/>
    <n v="31"/>
    <n v="1"/>
    <n v="1"/>
    <n v="20.524999999999999"/>
    <x v="0"/>
    <s v="Adult"/>
    <s v="Low"/>
    <n v="3"/>
  </r>
  <r>
    <x v="1"/>
    <x v="1"/>
    <s v="Hippach, Miss. Jean Gertrude"/>
    <x v="1"/>
    <n v="16"/>
    <n v="0"/>
    <n v="1"/>
    <n v="57.979199999999999"/>
    <x v="1"/>
    <s v="Child"/>
    <s v="High"/>
    <n v="2"/>
  </r>
  <r>
    <x v="1"/>
    <x v="0"/>
    <s v="McCoy, Miss. Agnes"/>
    <x v="1"/>
    <m/>
    <n v="2"/>
    <n v="0"/>
    <n v="23.25"/>
    <x v="2"/>
    <s v="Child"/>
    <s v="Low"/>
    <n v="3"/>
  </r>
  <r>
    <x v="0"/>
    <x v="1"/>
    <s v="Partner, Mr. Austen"/>
    <x v="0"/>
    <n v="45.5"/>
    <n v="0"/>
    <n v="0"/>
    <n v="28.5"/>
    <x v="0"/>
    <s v="Adult"/>
    <s v="Low"/>
    <n v="1"/>
  </r>
  <r>
    <x v="0"/>
    <x v="1"/>
    <s v="Graham, Mr. George Edward"/>
    <x v="0"/>
    <n v="38"/>
    <n v="0"/>
    <n v="1"/>
    <n v="153.46250000000001"/>
    <x v="0"/>
    <s v="Adult"/>
    <s v="High"/>
    <n v="2"/>
  </r>
  <r>
    <x v="0"/>
    <x v="0"/>
    <s v="Vander Planke, Mr. Leo Edmondus"/>
    <x v="0"/>
    <n v="16"/>
    <n v="2"/>
    <n v="0"/>
    <n v="18"/>
    <x v="0"/>
    <s v="Child"/>
    <s v="Low"/>
    <n v="3"/>
  </r>
  <r>
    <x v="1"/>
    <x v="1"/>
    <s v="Frauenthal, Mrs. Henry William (Clara Heinsheimer)"/>
    <x v="1"/>
    <m/>
    <n v="1"/>
    <n v="0"/>
    <n v="133.65"/>
    <x v="0"/>
    <s v="Child"/>
    <s v="High"/>
    <n v="2"/>
  </r>
  <r>
    <x v="0"/>
    <x v="0"/>
    <s v="Denkoff, Mr. Mitto"/>
    <x v="0"/>
    <m/>
    <n v="0"/>
    <n v="0"/>
    <n v="7.8958000000000004"/>
    <x v="0"/>
    <s v="Child"/>
    <s v="Low"/>
    <n v="1"/>
  </r>
  <r>
    <x v="0"/>
    <x v="1"/>
    <s v="Pears, Mr. Thomas Clinton"/>
    <x v="0"/>
    <n v="29"/>
    <n v="1"/>
    <n v="0"/>
    <n v="66.599999999999994"/>
    <x v="0"/>
    <s v="Adult"/>
    <s v="High"/>
    <n v="2"/>
  </r>
  <r>
    <x v="1"/>
    <x v="1"/>
    <s v="Burns, Miss. Elizabeth Margaret"/>
    <x v="1"/>
    <n v="41"/>
    <n v="0"/>
    <n v="0"/>
    <n v="134.5"/>
    <x v="1"/>
    <s v="Adult"/>
    <s v="High"/>
    <n v="1"/>
  </r>
  <r>
    <x v="1"/>
    <x v="0"/>
    <s v="Dahl, Mr. Karl Edwart"/>
    <x v="0"/>
    <n v="45"/>
    <n v="0"/>
    <n v="0"/>
    <n v="8.0500000000000007"/>
    <x v="0"/>
    <s v="Adult"/>
    <s v="Low"/>
    <n v="1"/>
  </r>
  <r>
    <x v="0"/>
    <x v="1"/>
    <s v="Blackwell, Mr. Stephen Weart"/>
    <x v="0"/>
    <n v="45"/>
    <n v="0"/>
    <n v="0"/>
    <n v="35.5"/>
    <x v="0"/>
    <s v="Adult"/>
    <s v="Low"/>
    <n v="1"/>
  </r>
  <r>
    <x v="1"/>
    <x v="2"/>
    <s v="Navratil, Master. Edmond Roger"/>
    <x v="0"/>
    <n v="2"/>
    <n v="1"/>
    <n v="1"/>
    <n v="26"/>
    <x v="0"/>
    <s v="Child"/>
    <s v="Low"/>
    <n v="3"/>
  </r>
  <r>
    <x v="1"/>
    <x v="1"/>
    <s v="Fortune, Miss. Alice Elizabeth"/>
    <x v="1"/>
    <n v="24"/>
    <n v="3"/>
    <n v="2"/>
    <n v="263"/>
    <x v="0"/>
    <s v="Adult"/>
    <s v="High"/>
    <n v="6"/>
  </r>
  <r>
    <x v="0"/>
    <x v="2"/>
    <s v="Collander, Mr. Erik Gustaf"/>
    <x v="0"/>
    <n v="28"/>
    <n v="0"/>
    <n v="0"/>
    <n v="13"/>
    <x v="0"/>
    <s v="Adult"/>
    <s v="Low"/>
    <n v="1"/>
  </r>
  <r>
    <x v="0"/>
    <x v="2"/>
    <s v="Sedgwick, Mr. Charles Frederick Waddington"/>
    <x v="0"/>
    <n v="25"/>
    <n v="0"/>
    <n v="0"/>
    <n v="13"/>
    <x v="0"/>
    <s v="Adult"/>
    <s v="Low"/>
    <n v="1"/>
  </r>
  <r>
    <x v="0"/>
    <x v="2"/>
    <s v="Fox, Mr. Stanley Hubert"/>
    <x v="0"/>
    <n v="36"/>
    <n v="0"/>
    <n v="0"/>
    <n v="13"/>
    <x v="0"/>
    <s v="Adult"/>
    <s v="Low"/>
    <n v="1"/>
  </r>
  <r>
    <x v="1"/>
    <x v="2"/>
    <s v="Brown, Miss. Amelia &quot;Mildred&quot;"/>
    <x v="1"/>
    <n v="24"/>
    <n v="0"/>
    <n v="0"/>
    <n v="13"/>
    <x v="0"/>
    <s v="Adult"/>
    <s v="Low"/>
    <n v="1"/>
  </r>
  <r>
    <x v="1"/>
    <x v="2"/>
    <s v="Smith, Miss. Marion Elsie"/>
    <x v="1"/>
    <n v="40"/>
    <n v="0"/>
    <n v="0"/>
    <n v="13"/>
    <x v="0"/>
    <s v="Adult"/>
    <s v="Low"/>
    <n v="1"/>
  </r>
  <r>
    <x v="1"/>
    <x v="0"/>
    <s v="Davison, Mrs. Thomas Henry (Mary E Finck)"/>
    <x v="1"/>
    <m/>
    <n v="1"/>
    <n v="0"/>
    <n v="16.100000000000001"/>
    <x v="0"/>
    <s v="Child"/>
    <s v="Low"/>
    <n v="2"/>
  </r>
  <r>
    <x v="1"/>
    <x v="0"/>
    <s v="Coutts, Master. William Loch &quot;William&quot;"/>
    <x v="0"/>
    <n v="3"/>
    <n v="1"/>
    <n v="1"/>
    <n v="15.9"/>
    <x v="0"/>
    <s v="Child"/>
    <s v="Low"/>
    <n v="3"/>
  </r>
  <r>
    <x v="0"/>
    <x v="0"/>
    <s v="Dimic, Mr. Jovan"/>
    <x v="0"/>
    <n v="42"/>
    <n v="0"/>
    <n v="0"/>
    <n v="8.6624999999999996"/>
    <x v="0"/>
    <s v="Adult"/>
    <s v="Low"/>
    <n v="1"/>
  </r>
  <r>
    <x v="0"/>
    <x v="0"/>
    <s v="Odahl, Mr. Nils Martin"/>
    <x v="0"/>
    <n v="23"/>
    <n v="0"/>
    <n v="0"/>
    <n v="9.2249999999999996"/>
    <x v="0"/>
    <s v="Adult"/>
    <s v="Low"/>
    <n v="1"/>
  </r>
  <r>
    <x v="0"/>
    <x v="1"/>
    <s v="Williams-Lambert, Mr. Fletcher Fellows"/>
    <x v="0"/>
    <m/>
    <n v="0"/>
    <n v="0"/>
    <n v="35"/>
    <x v="0"/>
    <s v="Child"/>
    <s v="Low"/>
    <n v="1"/>
  </r>
  <r>
    <x v="0"/>
    <x v="0"/>
    <s v="Elias, Mr. Tannous"/>
    <x v="0"/>
    <n v="15"/>
    <n v="1"/>
    <n v="1"/>
    <n v="7.2291999999999996"/>
    <x v="1"/>
    <s v="Child"/>
    <s v="Low"/>
    <n v="3"/>
  </r>
  <r>
    <x v="0"/>
    <x v="0"/>
    <s v="Arnold-Franchi, Mr. Josef"/>
    <x v="0"/>
    <n v="25"/>
    <n v="1"/>
    <n v="0"/>
    <n v="17.8"/>
    <x v="0"/>
    <s v="Adult"/>
    <s v="Low"/>
    <n v="2"/>
  </r>
  <r>
    <x v="0"/>
    <x v="0"/>
    <s v="Yousif, Mr. Wazli"/>
    <x v="0"/>
    <m/>
    <n v="0"/>
    <n v="0"/>
    <n v="7.2249999999999996"/>
    <x v="1"/>
    <s v="Child"/>
    <s v="Low"/>
    <n v="1"/>
  </r>
  <r>
    <x v="0"/>
    <x v="0"/>
    <s v="Vanden Steen, Mr. Leo Peter"/>
    <x v="0"/>
    <n v="28"/>
    <n v="0"/>
    <n v="0"/>
    <n v="9.5"/>
    <x v="0"/>
    <s v="Adult"/>
    <s v="Low"/>
    <n v="1"/>
  </r>
  <r>
    <x v="1"/>
    <x v="1"/>
    <s v="Bowerman, Miss. Elsie Edith"/>
    <x v="1"/>
    <n v="22"/>
    <n v="0"/>
    <n v="1"/>
    <n v="55"/>
    <x v="0"/>
    <s v="Adult"/>
    <s v="High"/>
    <n v="2"/>
  </r>
  <r>
    <x v="0"/>
    <x v="2"/>
    <s v="Funk, Miss. Annie Clemmer"/>
    <x v="1"/>
    <n v="38"/>
    <n v="0"/>
    <n v="0"/>
    <n v="13"/>
    <x v="0"/>
    <s v="Adult"/>
    <s v="Low"/>
    <n v="1"/>
  </r>
  <r>
    <x v="1"/>
    <x v="0"/>
    <s v="McGovern, Miss. Mary"/>
    <x v="1"/>
    <m/>
    <n v="0"/>
    <n v="0"/>
    <n v="7.8792"/>
    <x v="2"/>
    <s v="Child"/>
    <s v="Low"/>
    <n v="1"/>
  </r>
  <r>
    <x v="1"/>
    <x v="0"/>
    <s v="Mockler, Miss. Helen Mary &quot;Ellie&quot;"/>
    <x v="1"/>
    <m/>
    <n v="0"/>
    <n v="0"/>
    <n v="7.8792"/>
    <x v="2"/>
    <s v="Child"/>
    <s v="Low"/>
    <n v="1"/>
  </r>
  <r>
    <x v="0"/>
    <x v="0"/>
    <s v="Skoog, Mr. Wilhelm"/>
    <x v="0"/>
    <n v="40"/>
    <n v="1"/>
    <n v="4"/>
    <n v="27.9"/>
    <x v="0"/>
    <s v="Adult"/>
    <s v="Low"/>
    <n v="6"/>
  </r>
  <r>
    <x v="0"/>
    <x v="2"/>
    <s v="del Carlo, Mr. Sebastiano"/>
    <x v="0"/>
    <n v="29"/>
    <n v="1"/>
    <n v="0"/>
    <n v="27.720800000000001"/>
    <x v="1"/>
    <s v="Adult"/>
    <s v="Low"/>
    <n v="2"/>
  </r>
  <r>
    <x v="0"/>
    <x v="0"/>
    <s v="Barbara, Mrs. (Catherine David)"/>
    <x v="1"/>
    <n v="45"/>
    <n v="0"/>
    <n v="1"/>
    <n v="14.4542"/>
    <x v="1"/>
    <s v="Adult"/>
    <s v="Low"/>
    <n v="2"/>
  </r>
  <r>
    <x v="0"/>
    <x v="0"/>
    <s v="Asim, Mr. Adola"/>
    <x v="0"/>
    <n v="35"/>
    <n v="0"/>
    <n v="0"/>
    <n v="7.05"/>
    <x v="0"/>
    <s v="Adult"/>
    <s v="Low"/>
    <n v="1"/>
  </r>
  <r>
    <x v="0"/>
    <x v="0"/>
    <s v="O'Brien, Mr. Thomas"/>
    <x v="0"/>
    <m/>
    <n v="1"/>
    <n v="0"/>
    <n v="15.5"/>
    <x v="2"/>
    <s v="Child"/>
    <s v="Low"/>
    <n v="2"/>
  </r>
  <r>
    <x v="0"/>
    <x v="0"/>
    <s v="Adahl, Mr. Mauritz Nils Martin"/>
    <x v="0"/>
    <n v="30"/>
    <n v="0"/>
    <n v="0"/>
    <n v="7.25"/>
    <x v="0"/>
    <s v="Adult"/>
    <s v="Low"/>
    <n v="1"/>
  </r>
  <r>
    <x v="1"/>
    <x v="1"/>
    <s v="Warren, Mrs. Frank Manley (Anna Sophia Atkinson)"/>
    <x v="1"/>
    <n v="60"/>
    <n v="1"/>
    <n v="0"/>
    <n v="75.25"/>
    <x v="1"/>
    <s v="Adult"/>
    <s v="High"/>
    <n v="2"/>
  </r>
  <r>
    <x v="1"/>
    <x v="0"/>
    <s v="Moussa, Mrs. (Mantoura Boulos)"/>
    <x v="1"/>
    <m/>
    <n v="0"/>
    <n v="0"/>
    <n v="7.2291999999999996"/>
    <x v="1"/>
    <s v="Child"/>
    <s v="Low"/>
    <n v="1"/>
  </r>
  <r>
    <x v="1"/>
    <x v="0"/>
    <s v="Jermyn, Miss. Annie"/>
    <x v="1"/>
    <m/>
    <n v="0"/>
    <n v="0"/>
    <n v="7.75"/>
    <x v="2"/>
    <s v="Child"/>
    <s v="Low"/>
    <n v="1"/>
  </r>
  <r>
    <x v="1"/>
    <x v="1"/>
    <s v="Aubart, Mme. Leontine Pauline"/>
    <x v="1"/>
    <n v="24"/>
    <n v="0"/>
    <n v="0"/>
    <n v="69.3"/>
    <x v="1"/>
    <s v="Adult"/>
    <s v="High"/>
    <n v="1"/>
  </r>
  <r>
    <x v="1"/>
    <x v="1"/>
    <s v="Harder, Mr. George Achilles"/>
    <x v="0"/>
    <n v="25"/>
    <n v="1"/>
    <n v="0"/>
    <n v="55.441699999999997"/>
    <x v="1"/>
    <s v="Adult"/>
    <s v="High"/>
    <n v="2"/>
  </r>
  <r>
    <x v="0"/>
    <x v="0"/>
    <s v="Wiklund, Mr. Jakob Alfred"/>
    <x v="0"/>
    <n v="18"/>
    <n v="1"/>
    <n v="0"/>
    <n v="6.4958"/>
    <x v="0"/>
    <s v="Adult"/>
    <s v="Low"/>
    <n v="2"/>
  </r>
  <r>
    <x v="0"/>
    <x v="0"/>
    <s v="Beavan, Mr. William Thomas"/>
    <x v="0"/>
    <n v="19"/>
    <n v="0"/>
    <n v="0"/>
    <n v="8.0500000000000007"/>
    <x v="0"/>
    <s v="Adult"/>
    <s v="Low"/>
    <n v="1"/>
  </r>
  <r>
    <x v="0"/>
    <x v="1"/>
    <s v="Ringhini, Mr. Sante"/>
    <x v="0"/>
    <n v="22"/>
    <n v="0"/>
    <n v="0"/>
    <n v="135.63329999999999"/>
    <x v="1"/>
    <s v="Adult"/>
    <s v="High"/>
    <n v="1"/>
  </r>
  <r>
    <x v="0"/>
    <x v="0"/>
    <s v="Palsson, Miss. Stina Viola"/>
    <x v="1"/>
    <n v="3"/>
    <n v="3"/>
    <n v="1"/>
    <n v="21.074999999999999"/>
    <x v="0"/>
    <s v="Child"/>
    <s v="Low"/>
    <n v="5"/>
  </r>
  <r>
    <x v="1"/>
    <x v="1"/>
    <s v="Meyer, Mrs. Edgar Joseph (Leila Saks)"/>
    <x v="1"/>
    <m/>
    <n v="1"/>
    <n v="0"/>
    <n v="82.1708"/>
    <x v="1"/>
    <s v="Child"/>
    <s v="High"/>
    <n v="2"/>
  </r>
  <r>
    <x v="1"/>
    <x v="0"/>
    <s v="Landergren, Miss. Aurora Adelia"/>
    <x v="1"/>
    <n v="22"/>
    <n v="0"/>
    <n v="0"/>
    <n v="7.25"/>
    <x v="0"/>
    <s v="Adult"/>
    <s v="Low"/>
    <n v="1"/>
  </r>
  <r>
    <x v="0"/>
    <x v="1"/>
    <s v="Widener, Mr. Harry Elkins"/>
    <x v="0"/>
    <n v="27"/>
    <n v="0"/>
    <n v="2"/>
    <n v="211.5"/>
    <x v="1"/>
    <s v="Adult"/>
    <s v="High"/>
    <n v="3"/>
  </r>
  <r>
    <x v="0"/>
    <x v="0"/>
    <s v="Betros, Mr. Tannous"/>
    <x v="0"/>
    <n v="20"/>
    <n v="0"/>
    <n v="0"/>
    <n v="4.0125000000000002"/>
    <x v="1"/>
    <s v="Adult"/>
    <s v="Low"/>
    <n v="1"/>
  </r>
  <r>
    <x v="0"/>
    <x v="0"/>
    <s v="Gustafsson, Mr. Karl Gideon"/>
    <x v="0"/>
    <n v="19"/>
    <n v="0"/>
    <n v="0"/>
    <n v="7.7750000000000004"/>
    <x v="0"/>
    <s v="Adult"/>
    <s v="Low"/>
    <n v="1"/>
  </r>
  <r>
    <x v="1"/>
    <x v="1"/>
    <s v="Bidois, Miss. Rosalie"/>
    <x v="1"/>
    <n v="42"/>
    <n v="0"/>
    <n v="0"/>
    <n v="227.52500000000001"/>
    <x v="1"/>
    <s v="Adult"/>
    <s v="High"/>
    <n v="1"/>
  </r>
  <r>
    <x v="1"/>
    <x v="0"/>
    <s v="Nakid, Miss. Maria (&quot;Mary&quot;)"/>
    <x v="1"/>
    <n v="1"/>
    <n v="0"/>
    <n v="2"/>
    <n v="15.7417"/>
    <x v="1"/>
    <s v="Child"/>
    <s v="Low"/>
    <n v="3"/>
  </r>
  <r>
    <x v="0"/>
    <x v="0"/>
    <s v="Tikkanen, Mr. Juho"/>
    <x v="0"/>
    <n v="32"/>
    <n v="0"/>
    <n v="0"/>
    <n v="7.9249999999999998"/>
    <x v="0"/>
    <s v="Adult"/>
    <s v="Low"/>
    <n v="1"/>
  </r>
  <r>
    <x v="1"/>
    <x v="1"/>
    <s v="Holverson, Mrs. Alexander Oskar (Mary Aline Towner)"/>
    <x v="1"/>
    <n v="35"/>
    <n v="1"/>
    <n v="0"/>
    <n v="52"/>
    <x v="0"/>
    <s v="Adult"/>
    <s v="High"/>
    <n v="2"/>
  </r>
  <r>
    <x v="0"/>
    <x v="0"/>
    <s v="Plotcharsky, Mr. Vasil"/>
    <x v="0"/>
    <m/>
    <n v="0"/>
    <n v="0"/>
    <n v="7.8958000000000004"/>
    <x v="0"/>
    <s v="Child"/>
    <s v="Low"/>
    <n v="1"/>
  </r>
  <r>
    <x v="0"/>
    <x v="2"/>
    <s v="Davies, Mr. Charles Henry"/>
    <x v="0"/>
    <n v="18"/>
    <n v="0"/>
    <n v="0"/>
    <n v="73.5"/>
    <x v="0"/>
    <s v="Adult"/>
    <s v="High"/>
    <n v="1"/>
  </r>
  <r>
    <x v="0"/>
    <x v="0"/>
    <s v="Goodwin, Master. Sidney Leonard"/>
    <x v="0"/>
    <n v="1"/>
    <n v="5"/>
    <n v="2"/>
    <n v="46.9"/>
    <x v="0"/>
    <s v="Child"/>
    <s v="Low"/>
    <n v="8"/>
  </r>
  <r>
    <x v="1"/>
    <x v="2"/>
    <s v="Buss, Miss. Kate"/>
    <x v="1"/>
    <n v="36"/>
    <n v="0"/>
    <n v="0"/>
    <n v="13"/>
    <x v="0"/>
    <s v="Adult"/>
    <s v="Low"/>
    <n v="1"/>
  </r>
  <r>
    <x v="0"/>
    <x v="0"/>
    <s v="Sadlier, Mr. Matthew"/>
    <x v="0"/>
    <m/>
    <n v="0"/>
    <n v="0"/>
    <n v="7.7291999999999996"/>
    <x v="2"/>
    <s v="Child"/>
    <s v="Low"/>
    <n v="1"/>
  </r>
  <r>
    <x v="1"/>
    <x v="2"/>
    <s v="Lehmann, Miss. Bertha"/>
    <x v="1"/>
    <n v="17"/>
    <n v="0"/>
    <n v="0"/>
    <n v="12"/>
    <x v="1"/>
    <s v="Child"/>
    <s v="Low"/>
    <n v="1"/>
  </r>
  <r>
    <x v="1"/>
    <x v="1"/>
    <s v="Carter, Mr. William Ernest"/>
    <x v="0"/>
    <n v="36"/>
    <n v="1"/>
    <n v="2"/>
    <n v="120"/>
    <x v="0"/>
    <s v="Adult"/>
    <s v="High"/>
    <n v="4"/>
  </r>
  <r>
    <x v="1"/>
    <x v="0"/>
    <s v="Jansson, Mr. Carl Olof"/>
    <x v="0"/>
    <n v="21"/>
    <n v="0"/>
    <n v="0"/>
    <n v="7.7957999999999998"/>
    <x v="0"/>
    <s v="Adult"/>
    <s v="Low"/>
    <n v="1"/>
  </r>
  <r>
    <x v="0"/>
    <x v="0"/>
    <s v="Gustafsson, Mr. Johan Birger"/>
    <x v="0"/>
    <n v="28"/>
    <n v="2"/>
    <n v="0"/>
    <n v="7.9249999999999998"/>
    <x v="0"/>
    <s v="Adult"/>
    <s v="Low"/>
    <n v="3"/>
  </r>
  <r>
    <x v="1"/>
    <x v="1"/>
    <s v="Newell, Miss. Marjorie"/>
    <x v="1"/>
    <n v="23"/>
    <n v="1"/>
    <n v="0"/>
    <n v="113.27500000000001"/>
    <x v="1"/>
    <s v="Adult"/>
    <s v="High"/>
    <n v="2"/>
  </r>
  <r>
    <x v="1"/>
    <x v="0"/>
    <s v="Sandstrom, Mrs. Hjalmar (Agnes Charlotta Bengtsson)"/>
    <x v="1"/>
    <n v="24"/>
    <n v="0"/>
    <n v="2"/>
    <n v="16.7"/>
    <x v="0"/>
    <s v="Adult"/>
    <s v="Low"/>
    <n v="3"/>
  </r>
  <r>
    <x v="0"/>
    <x v="0"/>
    <s v="Johansson, Mr. Erik"/>
    <x v="0"/>
    <n v="22"/>
    <n v="0"/>
    <n v="0"/>
    <n v="7.7957999999999998"/>
    <x v="0"/>
    <s v="Adult"/>
    <s v="Low"/>
    <n v="1"/>
  </r>
  <r>
    <x v="0"/>
    <x v="0"/>
    <s v="Olsson, Miss. Elina"/>
    <x v="1"/>
    <n v="31"/>
    <n v="0"/>
    <n v="0"/>
    <n v="7.8541999999999996"/>
    <x v="0"/>
    <s v="Adult"/>
    <s v="Low"/>
    <n v="1"/>
  </r>
  <r>
    <x v="0"/>
    <x v="2"/>
    <s v="McKane, Mr. Peter David"/>
    <x v="0"/>
    <n v="46"/>
    <n v="0"/>
    <n v="0"/>
    <n v="26"/>
    <x v="0"/>
    <s v="Adult"/>
    <s v="Low"/>
    <n v="1"/>
  </r>
  <r>
    <x v="0"/>
    <x v="2"/>
    <s v="Pain, Dr. Alfred"/>
    <x v="0"/>
    <n v="23"/>
    <n v="0"/>
    <n v="0"/>
    <n v="10.5"/>
    <x v="0"/>
    <s v="Adult"/>
    <s v="Low"/>
    <n v="1"/>
  </r>
  <r>
    <x v="1"/>
    <x v="2"/>
    <s v="Trout, Mrs. William H (Jessie L)"/>
    <x v="1"/>
    <n v="28"/>
    <n v="0"/>
    <n v="0"/>
    <n v="12.65"/>
    <x v="0"/>
    <s v="Adult"/>
    <s v="Low"/>
    <n v="1"/>
  </r>
  <r>
    <x v="1"/>
    <x v="0"/>
    <s v="Niskanen, Mr. Juha"/>
    <x v="0"/>
    <n v="39"/>
    <n v="0"/>
    <n v="0"/>
    <n v="7.9249999999999998"/>
    <x v="0"/>
    <s v="Adult"/>
    <s v="Low"/>
    <n v="1"/>
  </r>
  <r>
    <x v="0"/>
    <x v="0"/>
    <s v="Adams, Mr. John"/>
    <x v="0"/>
    <n v="26"/>
    <n v="0"/>
    <n v="0"/>
    <n v="8.0500000000000007"/>
    <x v="0"/>
    <s v="Adult"/>
    <s v="Low"/>
    <n v="1"/>
  </r>
  <r>
    <x v="0"/>
    <x v="0"/>
    <s v="Jussila, Miss. Mari Aina"/>
    <x v="1"/>
    <n v="21"/>
    <n v="1"/>
    <n v="0"/>
    <n v="9.8249999999999993"/>
    <x v="0"/>
    <s v="Adult"/>
    <s v="Low"/>
    <n v="2"/>
  </r>
  <r>
    <x v="0"/>
    <x v="0"/>
    <s v="Hakkarainen, Mr. Pekka Pietari"/>
    <x v="0"/>
    <n v="28"/>
    <n v="1"/>
    <n v="0"/>
    <n v="15.85"/>
    <x v="0"/>
    <s v="Adult"/>
    <s v="Low"/>
    <n v="2"/>
  </r>
  <r>
    <x v="0"/>
    <x v="0"/>
    <s v="Oreskovic, Miss. Marija"/>
    <x v="1"/>
    <n v="20"/>
    <n v="0"/>
    <n v="0"/>
    <n v="8.6624999999999996"/>
    <x v="0"/>
    <s v="Adult"/>
    <s v="Low"/>
    <n v="1"/>
  </r>
  <r>
    <x v="0"/>
    <x v="2"/>
    <s v="Gale, Mr. Shadrach"/>
    <x v="0"/>
    <n v="34"/>
    <n v="1"/>
    <n v="0"/>
    <n v="21"/>
    <x v="0"/>
    <s v="Adult"/>
    <s v="Low"/>
    <n v="2"/>
  </r>
  <r>
    <x v="0"/>
    <x v="0"/>
    <s v="Widegren, Mr. Carl/Charles Peter"/>
    <x v="0"/>
    <n v="51"/>
    <n v="0"/>
    <n v="0"/>
    <n v="7.75"/>
    <x v="0"/>
    <s v="Adult"/>
    <s v="Low"/>
    <n v="1"/>
  </r>
  <r>
    <x v="1"/>
    <x v="2"/>
    <s v="Richards, Master. William Rowe"/>
    <x v="0"/>
    <n v="3"/>
    <n v="1"/>
    <n v="1"/>
    <n v="18.75"/>
    <x v="0"/>
    <s v="Child"/>
    <s v="Low"/>
    <n v="3"/>
  </r>
  <r>
    <x v="0"/>
    <x v="0"/>
    <s v="Birkeland, Mr. Hans Martin Monsen"/>
    <x v="0"/>
    <n v="21"/>
    <n v="0"/>
    <n v="0"/>
    <n v="7.7750000000000004"/>
    <x v="0"/>
    <s v="Adult"/>
    <s v="Low"/>
    <n v="1"/>
  </r>
  <r>
    <x v="0"/>
    <x v="0"/>
    <s v="Lefebre, Miss. Ida"/>
    <x v="1"/>
    <m/>
    <n v="3"/>
    <n v="1"/>
    <n v="25.466699999999999"/>
    <x v="0"/>
    <s v="Child"/>
    <s v="Low"/>
    <n v="5"/>
  </r>
  <r>
    <x v="0"/>
    <x v="0"/>
    <s v="Sdycoff, Mr. Todor"/>
    <x v="0"/>
    <m/>
    <n v="0"/>
    <n v="0"/>
    <n v="7.8958000000000004"/>
    <x v="0"/>
    <s v="Child"/>
    <s v="Low"/>
    <n v="1"/>
  </r>
  <r>
    <x v="0"/>
    <x v="0"/>
    <s v="Hart, Mr. Henry"/>
    <x v="0"/>
    <m/>
    <n v="0"/>
    <n v="0"/>
    <n v="6.8582999999999998"/>
    <x v="2"/>
    <s v="Child"/>
    <s v="Low"/>
    <n v="1"/>
  </r>
  <r>
    <x v="1"/>
    <x v="1"/>
    <s v="Minahan, Miss. Daisy E"/>
    <x v="1"/>
    <n v="33"/>
    <n v="1"/>
    <n v="0"/>
    <n v="90"/>
    <x v="2"/>
    <s v="Adult"/>
    <s v="High"/>
    <n v="2"/>
  </r>
  <r>
    <x v="0"/>
    <x v="2"/>
    <s v="Cunningham, Mr. Alfred Fleming"/>
    <x v="0"/>
    <m/>
    <n v="0"/>
    <n v="0"/>
    <n v="0"/>
    <x v="0"/>
    <s v="Child"/>
    <s v="Low"/>
    <n v="1"/>
  </r>
  <r>
    <x v="1"/>
    <x v="0"/>
    <s v="Sundman, Mr. Johan Julian"/>
    <x v="0"/>
    <n v="44"/>
    <n v="0"/>
    <n v="0"/>
    <n v="7.9249999999999998"/>
    <x v="0"/>
    <s v="Adult"/>
    <s v="Low"/>
    <n v="1"/>
  </r>
  <r>
    <x v="0"/>
    <x v="0"/>
    <s v="Meek, Mrs. Thomas (Annie Louise Rowley)"/>
    <x v="1"/>
    <m/>
    <n v="0"/>
    <n v="0"/>
    <n v="8.0500000000000007"/>
    <x v="0"/>
    <s v="Child"/>
    <s v="Low"/>
    <n v="1"/>
  </r>
  <r>
    <x v="1"/>
    <x v="2"/>
    <s v="Drew, Mrs. James Vivian (Lulu Thorne Christian)"/>
    <x v="1"/>
    <n v="34"/>
    <n v="1"/>
    <n v="1"/>
    <n v="32.5"/>
    <x v="0"/>
    <s v="Adult"/>
    <s v="Low"/>
    <n v="3"/>
  </r>
  <r>
    <x v="1"/>
    <x v="2"/>
    <s v="Silven, Miss. Lyyli Karoliina"/>
    <x v="1"/>
    <n v="18"/>
    <n v="0"/>
    <n v="2"/>
    <n v="13"/>
    <x v="0"/>
    <s v="Adult"/>
    <s v="Low"/>
    <n v="3"/>
  </r>
  <r>
    <x v="0"/>
    <x v="2"/>
    <s v="Matthews, Mr. William John"/>
    <x v="0"/>
    <n v="30"/>
    <n v="0"/>
    <n v="0"/>
    <n v="13"/>
    <x v="0"/>
    <s v="Adult"/>
    <s v="Low"/>
    <n v="1"/>
  </r>
  <r>
    <x v="0"/>
    <x v="0"/>
    <s v="Van Impe, Miss. Catharina"/>
    <x v="1"/>
    <n v="10"/>
    <n v="0"/>
    <n v="2"/>
    <n v="24.15"/>
    <x v="0"/>
    <s v="Child"/>
    <s v="Low"/>
    <n v="3"/>
  </r>
  <r>
    <x v="0"/>
    <x v="0"/>
    <s v="Gheorgheff, Mr. Stanio"/>
    <x v="0"/>
    <m/>
    <n v="0"/>
    <n v="0"/>
    <n v="7.8958000000000004"/>
    <x v="1"/>
    <s v="Child"/>
    <s v="Low"/>
    <n v="1"/>
  </r>
  <r>
    <x v="0"/>
    <x v="0"/>
    <s v="Charters, Mr. David"/>
    <x v="0"/>
    <n v="21"/>
    <n v="0"/>
    <n v="0"/>
    <n v="7.7332999999999998"/>
    <x v="2"/>
    <s v="Adult"/>
    <s v="Low"/>
    <n v="1"/>
  </r>
  <r>
    <x v="0"/>
    <x v="0"/>
    <s v="Zimmerman, Mr. Leo"/>
    <x v="0"/>
    <n v="29"/>
    <n v="0"/>
    <n v="0"/>
    <n v="7.875"/>
    <x v="0"/>
    <s v="Adult"/>
    <s v="Low"/>
    <n v="1"/>
  </r>
  <r>
    <x v="0"/>
    <x v="0"/>
    <s v="Danbom, Mrs. Ernst Gilbert (Anna Sigrid Maria Brogren)"/>
    <x v="1"/>
    <n v="28"/>
    <n v="1"/>
    <n v="1"/>
    <n v="14.4"/>
    <x v="0"/>
    <s v="Adult"/>
    <s v="Low"/>
    <n v="3"/>
  </r>
  <r>
    <x v="0"/>
    <x v="0"/>
    <s v="Rosblom, Mr. Viktor Richard"/>
    <x v="0"/>
    <n v="18"/>
    <n v="1"/>
    <n v="1"/>
    <n v="20.212499999999999"/>
    <x v="0"/>
    <s v="Adult"/>
    <s v="Low"/>
    <n v="3"/>
  </r>
  <r>
    <x v="0"/>
    <x v="0"/>
    <s v="Wiseman, Mr. Phillippe"/>
    <x v="0"/>
    <m/>
    <n v="0"/>
    <n v="0"/>
    <n v="7.25"/>
    <x v="0"/>
    <s v="Child"/>
    <s v="Low"/>
    <n v="1"/>
  </r>
  <r>
    <x v="1"/>
    <x v="2"/>
    <s v="Clarke, Mrs. Charles V (Ada Maria Winfield)"/>
    <x v="1"/>
    <n v="28"/>
    <n v="1"/>
    <n v="0"/>
    <n v="26"/>
    <x v="0"/>
    <s v="Adult"/>
    <s v="Low"/>
    <n v="2"/>
  </r>
  <r>
    <x v="1"/>
    <x v="2"/>
    <s v="Phillips, Miss. Kate Florence (&quot;Mrs Kate Louise Phillips Marshall&quot;)"/>
    <x v="1"/>
    <n v="19"/>
    <n v="0"/>
    <n v="0"/>
    <n v="26"/>
    <x v="0"/>
    <s v="Adult"/>
    <s v="Low"/>
    <n v="1"/>
  </r>
  <r>
    <x v="0"/>
    <x v="0"/>
    <s v="Flynn, Mr. James"/>
    <x v="0"/>
    <m/>
    <n v="0"/>
    <n v="0"/>
    <n v="7.75"/>
    <x v="2"/>
    <s v="Child"/>
    <s v="Low"/>
    <n v="1"/>
  </r>
  <r>
    <x v="1"/>
    <x v="0"/>
    <s v="Pickard, Mr. Berk (Berk Trembisky)"/>
    <x v="0"/>
    <n v="32"/>
    <n v="0"/>
    <n v="0"/>
    <n v="8.0500000000000007"/>
    <x v="0"/>
    <s v="Adult"/>
    <s v="Low"/>
    <n v="1"/>
  </r>
  <r>
    <x v="1"/>
    <x v="1"/>
    <s v="Bjornstrom-Steffansson, Mr. Mauritz Hakan"/>
    <x v="0"/>
    <n v="28"/>
    <n v="0"/>
    <n v="0"/>
    <n v="26.55"/>
    <x v="0"/>
    <s v="Adult"/>
    <s v="Low"/>
    <n v="1"/>
  </r>
  <r>
    <x v="1"/>
    <x v="0"/>
    <s v="Thorneycroft, Mrs. Percival (Florence Kate White)"/>
    <x v="1"/>
    <m/>
    <n v="1"/>
    <n v="0"/>
    <n v="16.100000000000001"/>
    <x v="0"/>
    <s v="Child"/>
    <s v="Low"/>
    <n v="2"/>
  </r>
  <r>
    <x v="1"/>
    <x v="2"/>
    <s v="Louch, Mrs. Charles Alexander (Alice Adelaide Slow)"/>
    <x v="1"/>
    <n v="42"/>
    <n v="1"/>
    <n v="0"/>
    <n v="26"/>
    <x v="0"/>
    <s v="Adult"/>
    <s v="Low"/>
    <n v="2"/>
  </r>
  <r>
    <x v="0"/>
    <x v="0"/>
    <s v="Kallio, Mr. Nikolai Erland"/>
    <x v="0"/>
    <n v="17"/>
    <n v="0"/>
    <n v="0"/>
    <n v="7.125"/>
    <x v="0"/>
    <s v="Child"/>
    <s v="Low"/>
    <n v="1"/>
  </r>
  <r>
    <x v="0"/>
    <x v="1"/>
    <s v="Silvey, Mr. William Baird"/>
    <x v="0"/>
    <n v="50"/>
    <n v="1"/>
    <n v="0"/>
    <n v="55.9"/>
    <x v="0"/>
    <s v="Adult"/>
    <s v="High"/>
    <n v="2"/>
  </r>
  <r>
    <x v="1"/>
    <x v="1"/>
    <s v="Carter, Miss. Lucile Polk"/>
    <x v="1"/>
    <n v="14"/>
    <n v="1"/>
    <n v="2"/>
    <n v="120"/>
    <x v="0"/>
    <s v="Child"/>
    <s v="High"/>
    <n v="4"/>
  </r>
  <r>
    <x v="0"/>
    <x v="0"/>
    <s v="Ford, Miss. Doolina Margaret &quot;Daisy&quot;"/>
    <x v="1"/>
    <n v="21"/>
    <n v="2"/>
    <n v="2"/>
    <n v="34.375"/>
    <x v="0"/>
    <s v="Adult"/>
    <s v="Low"/>
    <n v="5"/>
  </r>
  <r>
    <x v="1"/>
    <x v="2"/>
    <s v="Richards, Mrs. Sidney (Emily Hocking)"/>
    <x v="1"/>
    <n v="24"/>
    <n v="2"/>
    <n v="3"/>
    <n v="18.75"/>
    <x v="0"/>
    <s v="Adult"/>
    <s v="Low"/>
    <n v="6"/>
  </r>
  <r>
    <x v="0"/>
    <x v="1"/>
    <s v="Fortune, Mr. Mark"/>
    <x v="0"/>
    <n v="64"/>
    <n v="1"/>
    <n v="4"/>
    <n v="263"/>
    <x v="0"/>
    <s v="Adult"/>
    <s v="High"/>
    <n v="6"/>
  </r>
  <r>
    <x v="0"/>
    <x v="2"/>
    <s v="Kvillner, Mr. Johan Henrik Johannesson"/>
    <x v="0"/>
    <n v="31"/>
    <n v="0"/>
    <n v="0"/>
    <n v="10.5"/>
    <x v="0"/>
    <s v="Adult"/>
    <s v="Low"/>
    <n v="1"/>
  </r>
  <r>
    <x v="1"/>
    <x v="2"/>
    <s v="Hart, Mrs. Benjamin (Esther Ada Bloomfield)"/>
    <x v="1"/>
    <n v="45"/>
    <n v="1"/>
    <n v="1"/>
    <n v="26.25"/>
    <x v="0"/>
    <s v="Adult"/>
    <s v="Low"/>
    <n v="3"/>
  </r>
  <r>
    <x v="0"/>
    <x v="0"/>
    <s v="Hampe, Mr. Leon"/>
    <x v="0"/>
    <n v="20"/>
    <n v="0"/>
    <n v="0"/>
    <n v="9.5"/>
    <x v="0"/>
    <s v="Adult"/>
    <s v="Low"/>
    <n v="1"/>
  </r>
  <r>
    <x v="0"/>
    <x v="0"/>
    <s v="Petterson, Mr. Johan Emil"/>
    <x v="0"/>
    <n v="25"/>
    <n v="1"/>
    <n v="0"/>
    <n v="7.7750000000000004"/>
    <x v="0"/>
    <s v="Adult"/>
    <s v="Low"/>
    <n v="2"/>
  </r>
  <r>
    <x v="1"/>
    <x v="2"/>
    <s v="Reynaldo, Ms. Encarnacion"/>
    <x v="1"/>
    <n v="28"/>
    <n v="0"/>
    <n v="0"/>
    <n v="13"/>
    <x v="0"/>
    <s v="Adult"/>
    <s v="Low"/>
    <n v="1"/>
  </r>
  <r>
    <x v="1"/>
    <x v="0"/>
    <s v="Johannesen-Bratthammer, Mr. Bernt"/>
    <x v="0"/>
    <m/>
    <n v="0"/>
    <n v="0"/>
    <n v="8.1125000000000007"/>
    <x v="0"/>
    <s v="Child"/>
    <s v="Low"/>
    <n v="1"/>
  </r>
  <r>
    <x v="1"/>
    <x v="1"/>
    <s v="Dodge, Master. Washington"/>
    <x v="0"/>
    <n v="4"/>
    <n v="0"/>
    <n v="2"/>
    <n v="81.8583"/>
    <x v="0"/>
    <s v="Child"/>
    <s v="High"/>
    <n v="3"/>
  </r>
  <r>
    <x v="1"/>
    <x v="2"/>
    <s v="Mellinger, Miss. Madeleine Violet"/>
    <x v="1"/>
    <n v="13"/>
    <n v="0"/>
    <n v="1"/>
    <n v="19.5"/>
    <x v="0"/>
    <s v="Child"/>
    <s v="Low"/>
    <n v="2"/>
  </r>
  <r>
    <x v="1"/>
    <x v="1"/>
    <s v="Seward, Mr. Frederic Kimber"/>
    <x v="0"/>
    <n v="34"/>
    <n v="0"/>
    <n v="0"/>
    <n v="26.55"/>
    <x v="0"/>
    <s v="Adult"/>
    <s v="Low"/>
    <n v="1"/>
  </r>
  <r>
    <x v="1"/>
    <x v="0"/>
    <s v="Baclini, Miss. Marie Catherine"/>
    <x v="1"/>
    <n v="5"/>
    <n v="2"/>
    <n v="1"/>
    <n v="19.258299999999998"/>
    <x v="1"/>
    <s v="Child"/>
    <s v="Low"/>
    <n v="4"/>
  </r>
  <r>
    <x v="1"/>
    <x v="1"/>
    <s v="Peuchen, Major. Arthur Godfrey"/>
    <x v="0"/>
    <n v="52"/>
    <n v="0"/>
    <n v="0"/>
    <n v="30.5"/>
    <x v="0"/>
    <s v="Adult"/>
    <s v="Low"/>
    <n v="1"/>
  </r>
  <r>
    <x v="0"/>
    <x v="2"/>
    <s v="West, Mr. Edwy Arthur"/>
    <x v="0"/>
    <n v="36"/>
    <n v="1"/>
    <n v="2"/>
    <n v="27.75"/>
    <x v="0"/>
    <s v="Adult"/>
    <s v="Low"/>
    <n v="4"/>
  </r>
  <r>
    <x v="0"/>
    <x v="0"/>
    <s v="Hagland, Mr. Ingvald Olai Olsen"/>
    <x v="0"/>
    <m/>
    <n v="1"/>
    <n v="0"/>
    <n v="19.966699999999999"/>
    <x v="0"/>
    <s v="Child"/>
    <s v="Low"/>
    <n v="2"/>
  </r>
  <r>
    <x v="0"/>
    <x v="1"/>
    <s v="Foreman, Mr. Benjamin Laventall"/>
    <x v="0"/>
    <n v="30"/>
    <n v="0"/>
    <n v="0"/>
    <n v="27.75"/>
    <x v="1"/>
    <s v="Adult"/>
    <s v="Low"/>
    <n v="1"/>
  </r>
  <r>
    <x v="1"/>
    <x v="1"/>
    <s v="Goldenberg, Mr. Samuel L"/>
    <x v="0"/>
    <n v="49"/>
    <n v="1"/>
    <n v="0"/>
    <n v="89.104200000000006"/>
    <x v="1"/>
    <s v="Adult"/>
    <s v="High"/>
    <n v="2"/>
  </r>
  <r>
    <x v="0"/>
    <x v="0"/>
    <s v="Peduzzi, Mr. Joseph"/>
    <x v="0"/>
    <m/>
    <n v="0"/>
    <n v="0"/>
    <n v="8.0500000000000007"/>
    <x v="0"/>
    <s v="Child"/>
    <s v="Low"/>
    <n v="1"/>
  </r>
  <r>
    <x v="1"/>
    <x v="0"/>
    <s v="Jalsevac, Mr. Ivan"/>
    <x v="0"/>
    <n v="29"/>
    <n v="0"/>
    <n v="0"/>
    <n v="7.8958000000000004"/>
    <x v="1"/>
    <s v="Adult"/>
    <s v="Low"/>
    <n v="1"/>
  </r>
  <r>
    <x v="0"/>
    <x v="1"/>
    <s v="Millet, Mr. Francis Davis"/>
    <x v="0"/>
    <n v="65"/>
    <n v="0"/>
    <n v="0"/>
    <n v="26.55"/>
    <x v="0"/>
    <s v="Adult"/>
    <s v="Low"/>
    <n v="1"/>
  </r>
  <r>
    <x v="1"/>
    <x v="1"/>
    <s v="Kenyon, Mrs. Frederick R (Marion)"/>
    <x v="1"/>
    <m/>
    <n v="1"/>
    <n v="0"/>
    <n v="51.862499999999997"/>
    <x v="0"/>
    <s v="Child"/>
    <s v="High"/>
    <n v="2"/>
  </r>
  <r>
    <x v="1"/>
    <x v="2"/>
    <s v="Toomey, Miss. Ellen"/>
    <x v="1"/>
    <n v="50"/>
    <n v="0"/>
    <n v="0"/>
    <n v="10.5"/>
    <x v="0"/>
    <s v="Adult"/>
    <s v="Low"/>
    <n v="1"/>
  </r>
  <r>
    <x v="0"/>
    <x v="0"/>
    <s v="O'Connor, Mr. Maurice"/>
    <x v="0"/>
    <m/>
    <n v="0"/>
    <n v="0"/>
    <n v="7.75"/>
    <x v="2"/>
    <s v="Child"/>
    <s v="Low"/>
    <n v="1"/>
  </r>
  <r>
    <x v="1"/>
    <x v="1"/>
    <s v="Anderson, Mr. Harry"/>
    <x v="0"/>
    <n v="48"/>
    <n v="0"/>
    <n v="0"/>
    <n v="26.55"/>
    <x v="0"/>
    <s v="Adult"/>
    <s v="Low"/>
    <n v="1"/>
  </r>
  <r>
    <x v="0"/>
    <x v="0"/>
    <s v="Morley, Mr. William"/>
    <x v="0"/>
    <n v="34"/>
    <n v="0"/>
    <n v="0"/>
    <n v="8.0500000000000007"/>
    <x v="0"/>
    <s v="Adult"/>
    <s v="Low"/>
    <n v="1"/>
  </r>
  <r>
    <x v="0"/>
    <x v="1"/>
    <s v="Gee, Mr. Arthur H"/>
    <x v="0"/>
    <n v="47"/>
    <n v="0"/>
    <n v="0"/>
    <n v="38.5"/>
    <x v="0"/>
    <s v="Adult"/>
    <s v="Low"/>
    <n v="1"/>
  </r>
  <r>
    <x v="0"/>
    <x v="2"/>
    <s v="Milling, Mr. Jacob Christian"/>
    <x v="0"/>
    <n v="48"/>
    <n v="0"/>
    <n v="0"/>
    <n v="13"/>
    <x v="0"/>
    <s v="Adult"/>
    <s v="Low"/>
    <n v="1"/>
  </r>
  <r>
    <x v="0"/>
    <x v="0"/>
    <s v="Maisner, Mr. Simon"/>
    <x v="0"/>
    <m/>
    <n v="0"/>
    <n v="0"/>
    <n v="8.0500000000000007"/>
    <x v="0"/>
    <s v="Child"/>
    <s v="Low"/>
    <n v="1"/>
  </r>
  <r>
    <x v="0"/>
    <x v="0"/>
    <s v="Goncalves, Mr. Manuel Estanslas"/>
    <x v="0"/>
    <n v="38"/>
    <n v="0"/>
    <n v="0"/>
    <n v="7.05"/>
    <x v="0"/>
    <s v="Adult"/>
    <s v="Low"/>
    <n v="1"/>
  </r>
  <r>
    <x v="0"/>
    <x v="2"/>
    <s v="Campbell, Mr. William"/>
    <x v="0"/>
    <m/>
    <n v="0"/>
    <n v="0"/>
    <n v="0"/>
    <x v="0"/>
    <s v="Child"/>
    <s v="Low"/>
    <n v="1"/>
  </r>
  <r>
    <x v="0"/>
    <x v="1"/>
    <s v="Smart, Mr. John Montgomery"/>
    <x v="0"/>
    <n v="56"/>
    <n v="0"/>
    <n v="0"/>
    <n v="26.55"/>
    <x v="0"/>
    <s v="Adult"/>
    <s v="Low"/>
    <n v="1"/>
  </r>
  <r>
    <x v="0"/>
    <x v="0"/>
    <s v="Scanlan, Mr. James"/>
    <x v="0"/>
    <m/>
    <n v="0"/>
    <n v="0"/>
    <n v="7.7249999999999996"/>
    <x v="2"/>
    <s v="Child"/>
    <s v="Low"/>
    <n v="1"/>
  </r>
  <r>
    <x v="1"/>
    <x v="0"/>
    <s v="Baclini, Miss. Helene Barbara"/>
    <x v="1"/>
    <n v="0.75"/>
    <n v="2"/>
    <n v="1"/>
    <n v="19.258299999999998"/>
    <x v="1"/>
    <s v="Child"/>
    <s v="Low"/>
    <n v="4"/>
  </r>
  <r>
    <x v="0"/>
    <x v="0"/>
    <s v="Keefe, Mr. Arthur"/>
    <x v="0"/>
    <m/>
    <n v="0"/>
    <n v="0"/>
    <n v="7.25"/>
    <x v="0"/>
    <s v="Child"/>
    <s v="Low"/>
    <n v="1"/>
  </r>
  <r>
    <x v="0"/>
    <x v="0"/>
    <s v="Cacic, Mr. Luka"/>
    <x v="0"/>
    <n v="38"/>
    <n v="0"/>
    <n v="0"/>
    <n v="8.6624999999999996"/>
    <x v="0"/>
    <s v="Adult"/>
    <s v="Low"/>
    <n v="1"/>
  </r>
  <r>
    <x v="1"/>
    <x v="2"/>
    <s v="West, Mrs. Edwy Arthur (Ada Mary Worth)"/>
    <x v="1"/>
    <n v="33"/>
    <n v="1"/>
    <n v="2"/>
    <n v="27.75"/>
    <x v="0"/>
    <s v="Adult"/>
    <s v="Low"/>
    <n v="4"/>
  </r>
  <r>
    <x v="1"/>
    <x v="2"/>
    <s v="Jerwan, Mrs. Amin S (Marie Marthe Thuillard)"/>
    <x v="1"/>
    <n v="23"/>
    <n v="0"/>
    <n v="0"/>
    <n v="13.791700000000001"/>
    <x v="1"/>
    <s v="Adult"/>
    <s v="Low"/>
    <n v="1"/>
  </r>
  <r>
    <x v="0"/>
    <x v="0"/>
    <s v="Strandberg, Miss. Ida Sofia"/>
    <x v="1"/>
    <n v="22"/>
    <n v="0"/>
    <n v="0"/>
    <n v="9.8375000000000004"/>
    <x v="0"/>
    <s v="Adult"/>
    <s v="Low"/>
    <n v="1"/>
  </r>
  <r>
    <x v="0"/>
    <x v="1"/>
    <s v="Clifford, Mr. George Quincy"/>
    <x v="0"/>
    <m/>
    <n v="0"/>
    <n v="0"/>
    <n v="52"/>
    <x v="0"/>
    <s v="Child"/>
    <s v="High"/>
    <n v="1"/>
  </r>
  <r>
    <x v="0"/>
    <x v="2"/>
    <s v="Renouf, Mr. Peter Henry"/>
    <x v="0"/>
    <n v="34"/>
    <n v="1"/>
    <n v="0"/>
    <n v="21"/>
    <x v="0"/>
    <s v="Adult"/>
    <s v="Low"/>
    <n v="2"/>
  </r>
  <r>
    <x v="0"/>
    <x v="0"/>
    <s v="Braund, Mr. Lewis Richard"/>
    <x v="0"/>
    <n v="29"/>
    <n v="1"/>
    <n v="0"/>
    <n v="7.0457999999999998"/>
    <x v="0"/>
    <s v="Adult"/>
    <s v="Low"/>
    <n v="2"/>
  </r>
  <r>
    <x v="0"/>
    <x v="0"/>
    <s v="Karlsson, Mr. Nils August"/>
    <x v="0"/>
    <n v="22"/>
    <n v="0"/>
    <n v="0"/>
    <n v="7.5208000000000004"/>
    <x v="0"/>
    <s v="Adult"/>
    <s v="Low"/>
    <n v="1"/>
  </r>
  <r>
    <x v="1"/>
    <x v="0"/>
    <s v="Hirvonen, Miss. Hildur E"/>
    <x v="1"/>
    <n v="2"/>
    <n v="0"/>
    <n v="1"/>
    <n v="12.2875"/>
    <x v="0"/>
    <s v="Child"/>
    <s v="Low"/>
    <n v="2"/>
  </r>
  <r>
    <x v="0"/>
    <x v="0"/>
    <s v="Goodwin, Master. Harold Victor"/>
    <x v="0"/>
    <n v="9"/>
    <n v="5"/>
    <n v="2"/>
    <n v="46.9"/>
    <x v="0"/>
    <s v="Child"/>
    <s v="Low"/>
    <n v="8"/>
  </r>
  <r>
    <x v="0"/>
    <x v="2"/>
    <s v="Frost, Mr. Anthony Wood &quot;Archie&quot;"/>
    <x v="0"/>
    <m/>
    <n v="0"/>
    <n v="0"/>
    <n v="0"/>
    <x v="0"/>
    <s v="Child"/>
    <s v="Low"/>
    <n v="1"/>
  </r>
  <r>
    <x v="0"/>
    <x v="0"/>
    <s v="Rouse, Mr. Richard Henry"/>
    <x v="0"/>
    <n v="50"/>
    <n v="0"/>
    <n v="0"/>
    <n v="8.0500000000000007"/>
    <x v="0"/>
    <s v="Adult"/>
    <s v="Low"/>
    <n v="1"/>
  </r>
  <r>
    <x v="1"/>
    <x v="0"/>
    <s v="Turkula, Mrs. (Hedwig)"/>
    <x v="1"/>
    <n v="63"/>
    <n v="0"/>
    <n v="0"/>
    <n v="9.5875000000000004"/>
    <x v="0"/>
    <s v="Adult"/>
    <s v="Low"/>
    <n v="1"/>
  </r>
  <r>
    <x v="1"/>
    <x v="1"/>
    <s v="Bishop, Mr. Dickinson H"/>
    <x v="0"/>
    <n v="25"/>
    <n v="1"/>
    <n v="0"/>
    <n v="91.0792"/>
    <x v="1"/>
    <s v="Adult"/>
    <s v="High"/>
    <n v="2"/>
  </r>
  <r>
    <x v="0"/>
    <x v="0"/>
    <s v="Lefebre, Miss. Jeannie"/>
    <x v="1"/>
    <m/>
    <n v="3"/>
    <n v="1"/>
    <n v="25.466699999999999"/>
    <x v="0"/>
    <s v="Child"/>
    <s v="Low"/>
    <n v="5"/>
  </r>
  <r>
    <x v="1"/>
    <x v="1"/>
    <s v="Hoyt, Mrs. Frederick Maxfield (Jane Anne Forby)"/>
    <x v="1"/>
    <n v="35"/>
    <n v="1"/>
    <n v="0"/>
    <n v="90"/>
    <x v="0"/>
    <s v="Adult"/>
    <s v="High"/>
    <n v="2"/>
  </r>
  <r>
    <x v="0"/>
    <x v="1"/>
    <s v="Kent, Mr. Edward Austin"/>
    <x v="0"/>
    <n v="58"/>
    <n v="0"/>
    <n v="0"/>
    <n v="29.7"/>
    <x v="1"/>
    <s v="Adult"/>
    <s v="Low"/>
    <n v="1"/>
  </r>
  <r>
    <x v="0"/>
    <x v="0"/>
    <s v="Somerton, Mr. Francis William"/>
    <x v="0"/>
    <n v="30"/>
    <n v="0"/>
    <n v="0"/>
    <n v="8.0500000000000007"/>
    <x v="0"/>
    <s v="Adult"/>
    <s v="Low"/>
    <n v="1"/>
  </r>
  <r>
    <x v="1"/>
    <x v="0"/>
    <s v="Coutts, Master. Eden Leslie &quot;Neville&quot;"/>
    <x v="0"/>
    <n v="9"/>
    <n v="1"/>
    <n v="1"/>
    <n v="15.9"/>
    <x v="0"/>
    <s v="Child"/>
    <s v="Low"/>
    <n v="3"/>
  </r>
  <r>
    <x v="0"/>
    <x v="0"/>
    <s v="Hagland, Mr. Konrad Mathias Reiersen"/>
    <x v="0"/>
    <m/>
    <n v="1"/>
    <n v="0"/>
    <n v="19.966699999999999"/>
    <x v="0"/>
    <s v="Child"/>
    <s v="Low"/>
    <n v="2"/>
  </r>
  <r>
    <x v="0"/>
    <x v="0"/>
    <s v="Windelov, Mr. Einar"/>
    <x v="0"/>
    <n v="21"/>
    <n v="0"/>
    <n v="0"/>
    <n v="7.25"/>
    <x v="0"/>
    <s v="Adult"/>
    <s v="Low"/>
    <n v="1"/>
  </r>
  <r>
    <x v="0"/>
    <x v="1"/>
    <s v="Molson, Mr. Harry Markland"/>
    <x v="0"/>
    <n v="55"/>
    <n v="0"/>
    <n v="0"/>
    <n v="30.5"/>
    <x v="0"/>
    <s v="Adult"/>
    <s v="Low"/>
    <n v="1"/>
  </r>
  <r>
    <x v="0"/>
    <x v="1"/>
    <s v="Artagaveytia, Mr. Ramon"/>
    <x v="0"/>
    <n v="71"/>
    <n v="0"/>
    <n v="0"/>
    <n v="49.504199999999997"/>
    <x v="1"/>
    <s v="Adult"/>
    <s v="Low"/>
    <n v="1"/>
  </r>
  <r>
    <x v="0"/>
    <x v="0"/>
    <s v="Stanley, Mr. Edward Roland"/>
    <x v="0"/>
    <n v="21"/>
    <n v="0"/>
    <n v="0"/>
    <n v="8.0500000000000007"/>
    <x v="0"/>
    <s v="Adult"/>
    <s v="Low"/>
    <n v="1"/>
  </r>
  <r>
    <x v="0"/>
    <x v="0"/>
    <s v="Yousseff, Mr. Gerious"/>
    <x v="0"/>
    <m/>
    <n v="0"/>
    <n v="0"/>
    <n v="14.458299999999999"/>
    <x v="1"/>
    <s v="Child"/>
    <s v="Low"/>
    <n v="1"/>
  </r>
  <r>
    <x v="1"/>
    <x v="1"/>
    <s v="Eustis, Miss. Elizabeth Mussey"/>
    <x v="1"/>
    <n v="54"/>
    <n v="1"/>
    <n v="0"/>
    <n v="78.2667"/>
    <x v="1"/>
    <s v="Adult"/>
    <s v="High"/>
    <n v="2"/>
  </r>
  <r>
    <x v="0"/>
    <x v="0"/>
    <s v="Shellard, Mr. Frederick William"/>
    <x v="0"/>
    <m/>
    <n v="0"/>
    <n v="0"/>
    <n v="15.1"/>
    <x v="0"/>
    <s v="Child"/>
    <s v="Low"/>
    <n v="1"/>
  </r>
  <r>
    <x v="0"/>
    <x v="1"/>
    <s v="Allison, Mrs. Hudson J C (Bessie Waldo Daniels)"/>
    <x v="1"/>
    <n v="25"/>
    <n v="1"/>
    <n v="2"/>
    <n v="151.55000000000001"/>
    <x v="0"/>
    <s v="Adult"/>
    <s v="High"/>
    <n v="4"/>
  </r>
  <r>
    <x v="0"/>
    <x v="0"/>
    <s v="Svensson, Mr. Olof"/>
    <x v="0"/>
    <n v="24"/>
    <n v="0"/>
    <n v="0"/>
    <n v="7.7957999999999998"/>
    <x v="0"/>
    <s v="Adult"/>
    <s v="Low"/>
    <n v="1"/>
  </r>
  <r>
    <x v="0"/>
    <x v="0"/>
    <s v="Calic, Mr. Petar"/>
    <x v="0"/>
    <n v="17"/>
    <n v="0"/>
    <n v="0"/>
    <n v="8.6624999999999996"/>
    <x v="0"/>
    <s v="Child"/>
    <s v="Low"/>
    <n v="1"/>
  </r>
  <r>
    <x v="0"/>
    <x v="0"/>
    <s v="Canavan, Miss. Mary"/>
    <x v="1"/>
    <n v="21"/>
    <n v="0"/>
    <n v="0"/>
    <n v="7.75"/>
    <x v="2"/>
    <s v="Adult"/>
    <s v="Low"/>
    <n v="1"/>
  </r>
  <r>
    <x v="0"/>
    <x v="0"/>
    <s v="O'Sullivan, Miss. Bridget Mary"/>
    <x v="1"/>
    <m/>
    <n v="0"/>
    <n v="0"/>
    <n v="7.6292"/>
    <x v="2"/>
    <s v="Child"/>
    <s v="Low"/>
    <n v="1"/>
  </r>
  <r>
    <x v="0"/>
    <x v="0"/>
    <s v="Laitinen, Miss. Kristina Sofia"/>
    <x v="1"/>
    <n v="37"/>
    <n v="0"/>
    <n v="0"/>
    <n v="9.5875000000000004"/>
    <x v="0"/>
    <s v="Adult"/>
    <s v="Low"/>
    <n v="1"/>
  </r>
  <r>
    <x v="1"/>
    <x v="1"/>
    <s v="Maioni, Miss. Roberta"/>
    <x v="1"/>
    <n v="16"/>
    <n v="0"/>
    <n v="0"/>
    <n v="86.5"/>
    <x v="0"/>
    <s v="Child"/>
    <s v="High"/>
    <n v="1"/>
  </r>
  <r>
    <x v="0"/>
    <x v="1"/>
    <s v="Penasco y Castellana, Mr. Victor de Satode"/>
    <x v="0"/>
    <n v="18"/>
    <n v="1"/>
    <n v="0"/>
    <n v="108.9"/>
    <x v="1"/>
    <s v="Adult"/>
    <s v="High"/>
    <n v="2"/>
  </r>
  <r>
    <x v="1"/>
    <x v="2"/>
    <s v="Quick, Mrs. Frederick Charles (Jane Richards)"/>
    <x v="1"/>
    <n v="33"/>
    <n v="0"/>
    <n v="2"/>
    <n v="26"/>
    <x v="0"/>
    <s v="Adult"/>
    <s v="Low"/>
    <n v="3"/>
  </r>
  <r>
    <x v="1"/>
    <x v="1"/>
    <s v="Bradley, Mr. George (&quot;George Arthur Brayton&quot;)"/>
    <x v="0"/>
    <m/>
    <n v="0"/>
    <n v="0"/>
    <n v="26.55"/>
    <x v="0"/>
    <s v="Child"/>
    <s v="Low"/>
    <n v="1"/>
  </r>
  <r>
    <x v="0"/>
    <x v="0"/>
    <s v="Olsen, Mr. Henry Margido"/>
    <x v="0"/>
    <n v="28"/>
    <n v="0"/>
    <n v="0"/>
    <n v="22.524999999999999"/>
    <x v="0"/>
    <s v="Adult"/>
    <s v="Low"/>
    <n v="1"/>
  </r>
  <r>
    <x v="1"/>
    <x v="0"/>
    <s v="Lang, Mr. Fang"/>
    <x v="0"/>
    <n v="26"/>
    <n v="0"/>
    <n v="0"/>
    <n v="56.495800000000003"/>
    <x v="0"/>
    <s v="Adult"/>
    <s v="High"/>
    <n v="1"/>
  </r>
  <r>
    <x v="1"/>
    <x v="0"/>
    <s v="Daly, Mr. Eugene Patrick"/>
    <x v="0"/>
    <n v="29"/>
    <n v="0"/>
    <n v="0"/>
    <n v="7.75"/>
    <x v="2"/>
    <s v="Adult"/>
    <s v="Low"/>
    <n v="1"/>
  </r>
  <r>
    <x v="0"/>
    <x v="0"/>
    <s v="Webber, Mr. James"/>
    <x v="0"/>
    <m/>
    <n v="0"/>
    <n v="0"/>
    <n v="8.0500000000000007"/>
    <x v="0"/>
    <s v="Child"/>
    <s v="Low"/>
    <n v="1"/>
  </r>
  <r>
    <x v="1"/>
    <x v="1"/>
    <s v="McGough, Mr. James Robert"/>
    <x v="0"/>
    <n v="36"/>
    <n v="0"/>
    <n v="0"/>
    <n v="26.287500000000001"/>
    <x v="0"/>
    <s v="Adult"/>
    <s v="Low"/>
    <n v="1"/>
  </r>
  <r>
    <x v="1"/>
    <x v="1"/>
    <s v="Rothschild, Mrs. Martin (Elizabeth L. Barrett)"/>
    <x v="1"/>
    <n v="54"/>
    <n v="1"/>
    <n v="0"/>
    <n v="59.4"/>
    <x v="1"/>
    <s v="Adult"/>
    <s v="High"/>
    <n v="2"/>
  </r>
  <r>
    <x v="0"/>
    <x v="0"/>
    <s v="Coleff, Mr. Satio"/>
    <x v="0"/>
    <n v="24"/>
    <n v="0"/>
    <n v="0"/>
    <n v="7.4958"/>
    <x v="0"/>
    <s v="Adult"/>
    <s v="Low"/>
    <n v="1"/>
  </r>
  <r>
    <x v="0"/>
    <x v="1"/>
    <s v="Walker, Mr. William Anderson"/>
    <x v="0"/>
    <n v="47"/>
    <n v="0"/>
    <n v="0"/>
    <n v="34.020800000000001"/>
    <x v="0"/>
    <s v="Adult"/>
    <s v="Low"/>
    <n v="1"/>
  </r>
  <r>
    <x v="1"/>
    <x v="2"/>
    <s v="Lemore, Mrs. (Amelia Milley)"/>
    <x v="1"/>
    <n v="34"/>
    <n v="0"/>
    <n v="0"/>
    <n v="10.5"/>
    <x v="0"/>
    <s v="Adult"/>
    <s v="Low"/>
    <n v="1"/>
  </r>
  <r>
    <x v="0"/>
    <x v="0"/>
    <s v="Ryan, Mr. Patrick"/>
    <x v="0"/>
    <m/>
    <n v="0"/>
    <n v="0"/>
    <n v="24.15"/>
    <x v="2"/>
    <s v="Child"/>
    <s v="Low"/>
    <n v="1"/>
  </r>
  <r>
    <x v="1"/>
    <x v="2"/>
    <s v="Angle, Mrs. William A (Florence &quot;Mary&quot; Agnes Hughes)"/>
    <x v="1"/>
    <n v="36"/>
    <n v="1"/>
    <n v="0"/>
    <n v="26"/>
    <x v="0"/>
    <s v="Adult"/>
    <s v="Low"/>
    <n v="2"/>
  </r>
  <r>
    <x v="0"/>
    <x v="0"/>
    <s v="Pavlovic, Mr. Stefo"/>
    <x v="0"/>
    <n v="32"/>
    <n v="0"/>
    <n v="0"/>
    <n v="7.8958000000000004"/>
    <x v="0"/>
    <s v="Adult"/>
    <s v="Low"/>
    <n v="1"/>
  </r>
  <r>
    <x v="1"/>
    <x v="1"/>
    <s v="Perreault, Miss. Anne"/>
    <x v="1"/>
    <n v="30"/>
    <n v="0"/>
    <n v="0"/>
    <n v="93.5"/>
    <x v="0"/>
    <s v="Adult"/>
    <s v="High"/>
    <n v="1"/>
  </r>
  <r>
    <x v="0"/>
    <x v="0"/>
    <s v="Vovk, Mr. Janko"/>
    <x v="0"/>
    <n v="22"/>
    <n v="0"/>
    <n v="0"/>
    <n v="7.8958000000000004"/>
    <x v="0"/>
    <s v="Adult"/>
    <s v="Low"/>
    <n v="1"/>
  </r>
  <r>
    <x v="0"/>
    <x v="0"/>
    <s v="Lahoud, Mr. Sarkis"/>
    <x v="0"/>
    <m/>
    <n v="0"/>
    <n v="0"/>
    <n v="7.2249999999999996"/>
    <x v="1"/>
    <s v="Child"/>
    <s v="Low"/>
    <n v="1"/>
  </r>
  <r>
    <x v="1"/>
    <x v="1"/>
    <s v="Hippach, Mrs. Louis Albert (Ida Sophia Fischer)"/>
    <x v="1"/>
    <n v="44"/>
    <n v="0"/>
    <n v="1"/>
    <n v="57.979199999999999"/>
    <x v="1"/>
    <s v="Adult"/>
    <s v="High"/>
    <n v="2"/>
  </r>
  <r>
    <x v="0"/>
    <x v="0"/>
    <s v="Kassem, Mr. Fared"/>
    <x v="0"/>
    <m/>
    <n v="0"/>
    <n v="0"/>
    <n v="7.2291999999999996"/>
    <x v="1"/>
    <s v="Child"/>
    <s v="Low"/>
    <n v="1"/>
  </r>
  <r>
    <x v="0"/>
    <x v="0"/>
    <s v="Farrell, Mr. James"/>
    <x v="0"/>
    <n v="40.5"/>
    <n v="0"/>
    <n v="0"/>
    <n v="7.75"/>
    <x v="2"/>
    <s v="Adult"/>
    <s v="Low"/>
    <n v="1"/>
  </r>
  <r>
    <x v="1"/>
    <x v="2"/>
    <s v="Ridsdale, Miss. Lucy"/>
    <x v="1"/>
    <n v="50"/>
    <n v="0"/>
    <n v="0"/>
    <n v="10.5"/>
    <x v="0"/>
    <s v="Adult"/>
    <s v="Low"/>
    <n v="1"/>
  </r>
  <r>
    <x v="0"/>
    <x v="1"/>
    <s v="Farthing, Mr. John"/>
    <x v="0"/>
    <m/>
    <n v="0"/>
    <n v="0"/>
    <n v="221.7792"/>
    <x v="0"/>
    <s v="Child"/>
    <s v="High"/>
    <n v="1"/>
  </r>
  <r>
    <x v="0"/>
    <x v="0"/>
    <s v="Salonen, Mr. Johan Werner"/>
    <x v="0"/>
    <n v="39"/>
    <n v="0"/>
    <n v="0"/>
    <n v="7.9249999999999998"/>
    <x v="0"/>
    <s v="Adult"/>
    <s v="Low"/>
    <n v="1"/>
  </r>
  <r>
    <x v="0"/>
    <x v="2"/>
    <s v="Hocking, Mr. Richard George"/>
    <x v="0"/>
    <n v="23"/>
    <n v="2"/>
    <n v="1"/>
    <n v="11.5"/>
    <x v="0"/>
    <s v="Adult"/>
    <s v="Low"/>
    <n v="4"/>
  </r>
  <r>
    <x v="1"/>
    <x v="2"/>
    <s v="Quick, Miss. Phyllis May"/>
    <x v="1"/>
    <n v="2"/>
    <n v="1"/>
    <n v="1"/>
    <n v="26"/>
    <x v="0"/>
    <s v="Child"/>
    <s v="Low"/>
    <n v="3"/>
  </r>
  <r>
    <x v="0"/>
    <x v="0"/>
    <s v="Toufik, Mr. Nakli"/>
    <x v="0"/>
    <m/>
    <n v="0"/>
    <n v="0"/>
    <n v="7.2291999999999996"/>
    <x v="1"/>
    <s v="Child"/>
    <s v="Low"/>
    <n v="1"/>
  </r>
  <r>
    <x v="0"/>
    <x v="0"/>
    <s v="Elias, Mr. Joseph Jr"/>
    <x v="0"/>
    <n v="17"/>
    <n v="1"/>
    <n v="1"/>
    <n v="7.2291999999999996"/>
    <x v="1"/>
    <s v="Child"/>
    <s v="Low"/>
    <n v="3"/>
  </r>
  <r>
    <x v="1"/>
    <x v="0"/>
    <s v="Peter, Mrs. Catherine (Catherine Rizk)"/>
    <x v="1"/>
    <m/>
    <n v="0"/>
    <n v="2"/>
    <n v="22.3583"/>
    <x v="1"/>
    <s v="Child"/>
    <s v="Low"/>
    <n v="3"/>
  </r>
  <r>
    <x v="0"/>
    <x v="0"/>
    <s v="Cacic, Miss. Marija"/>
    <x v="1"/>
    <n v="30"/>
    <n v="0"/>
    <n v="0"/>
    <n v="8.6624999999999996"/>
    <x v="0"/>
    <s v="Adult"/>
    <s v="Low"/>
    <n v="1"/>
  </r>
  <r>
    <x v="1"/>
    <x v="2"/>
    <s v="Hart, Miss. Eva Miriam"/>
    <x v="1"/>
    <n v="7"/>
    <n v="0"/>
    <n v="2"/>
    <n v="26.25"/>
    <x v="0"/>
    <s v="Child"/>
    <s v="Low"/>
    <n v="3"/>
  </r>
  <r>
    <x v="0"/>
    <x v="1"/>
    <s v="Butt, Major. Archibald Willingham"/>
    <x v="0"/>
    <n v="45"/>
    <n v="0"/>
    <n v="0"/>
    <n v="26.55"/>
    <x v="0"/>
    <s v="Adult"/>
    <s v="Low"/>
    <n v="1"/>
  </r>
  <r>
    <x v="1"/>
    <x v="1"/>
    <s v="LeRoy, Miss. Bertha"/>
    <x v="1"/>
    <n v="30"/>
    <n v="0"/>
    <n v="0"/>
    <n v="106.425"/>
    <x v="1"/>
    <s v="Adult"/>
    <s v="High"/>
    <n v="1"/>
  </r>
  <r>
    <x v="0"/>
    <x v="0"/>
    <s v="Risien, Mr. Samuel Beard"/>
    <x v="0"/>
    <m/>
    <n v="0"/>
    <n v="0"/>
    <n v="14.5"/>
    <x v="0"/>
    <s v="Child"/>
    <s v="Low"/>
    <n v="1"/>
  </r>
  <r>
    <x v="1"/>
    <x v="1"/>
    <s v="Frolicher, Miss. Hedwig Margaritha"/>
    <x v="1"/>
    <n v="22"/>
    <n v="0"/>
    <n v="2"/>
    <n v="49.5"/>
    <x v="1"/>
    <s v="Adult"/>
    <s v="Low"/>
    <n v="3"/>
  </r>
  <r>
    <x v="1"/>
    <x v="1"/>
    <s v="Crosby, Miss. Harriet R"/>
    <x v="1"/>
    <n v="36"/>
    <n v="0"/>
    <n v="2"/>
    <n v="71"/>
    <x v="0"/>
    <s v="Adult"/>
    <s v="High"/>
    <n v="3"/>
  </r>
  <r>
    <x v="0"/>
    <x v="0"/>
    <s v="Andersson, Miss. Ingeborg Constanzia"/>
    <x v="1"/>
    <n v="9"/>
    <n v="4"/>
    <n v="2"/>
    <n v="31.274999999999999"/>
    <x v="0"/>
    <s v="Child"/>
    <s v="Low"/>
    <n v="7"/>
  </r>
  <r>
    <x v="0"/>
    <x v="0"/>
    <s v="Andersson, Miss. Sigrid Elisabeth"/>
    <x v="1"/>
    <n v="11"/>
    <n v="4"/>
    <n v="2"/>
    <n v="31.274999999999999"/>
    <x v="0"/>
    <s v="Child"/>
    <s v="Low"/>
    <n v="7"/>
  </r>
  <r>
    <x v="1"/>
    <x v="2"/>
    <s v="Beane, Mr. Edward"/>
    <x v="0"/>
    <n v="32"/>
    <n v="1"/>
    <n v="0"/>
    <n v="26"/>
    <x v="0"/>
    <s v="Adult"/>
    <s v="Low"/>
    <n v="2"/>
  </r>
  <r>
    <x v="0"/>
    <x v="1"/>
    <s v="Douglas, Mr. Walter Donald"/>
    <x v="0"/>
    <n v="50"/>
    <n v="1"/>
    <n v="0"/>
    <n v="106.425"/>
    <x v="1"/>
    <s v="Adult"/>
    <s v="High"/>
    <n v="2"/>
  </r>
  <r>
    <x v="0"/>
    <x v="1"/>
    <s v="Nicholson, Mr. Arthur Ernest"/>
    <x v="0"/>
    <n v="64"/>
    <n v="0"/>
    <n v="0"/>
    <n v="26"/>
    <x v="0"/>
    <s v="Adult"/>
    <s v="Low"/>
    <n v="1"/>
  </r>
  <r>
    <x v="1"/>
    <x v="2"/>
    <s v="Beane, Mrs. Edward (Ethel Clarke)"/>
    <x v="1"/>
    <n v="19"/>
    <n v="1"/>
    <n v="0"/>
    <n v="26"/>
    <x v="0"/>
    <s v="Adult"/>
    <s v="Low"/>
    <n v="2"/>
  </r>
  <r>
    <x v="1"/>
    <x v="2"/>
    <s v="Padro y Manent, Mr. Julian"/>
    <x v="0"/>
    <m/>
    <n v="0"/>
    <n v="0"/>
    <n v="13.862500000000001"/>
    <x v="1"/>
    <s v="Child"/>
    <s v="Low"/>
    <n v="1"/>
  </r>
  <r>
    <x v="0"/>
    <x v="0"/>
    <s v="Goldsmith, Mr. Frank John"/>
    <x v="0"/>
    <n v="33"/>
    <n v="1"/>
    <n v="1"/>
    <n v="20.524999999999999"/>
    <x v="0"/>
    <s v="Adult"/>
    <s v="Low"/>
    <n v="3"/>
  </r>
  <r>
    <x v="1"/>
    <x v="2"/>
    <s v="Davies, Master. John Morgan Jr"/>
    <x v="0"/>
    <n v="8"/>
    <n v="1"/>
    <n v="1"/>
    <n v="36.75"/>
    <x v="0"/>
    <s v="Child"/>
    <s v="Low"/>
    <n v="3"/>
  </r>
  <r>
    <x v="1"/>
    <x v="1"/>
    <s v="Thayer, Mr. John Borland Jr"/>
    <x v="0"/>
    <n v="17"/>
    <n v="0"/>
    <n v="2"/>
    <n v="110.88330000000001"/>
    <x v="1"/>
    <s v="Child"/>
    <s v="High"/>
    <n v="3"/>
  </r>
  <r>
    <x v="0"/>
    <x v="2"/>
    <s v="Sharp, Mr. Percival James R"/>
    <x v="0"/>
    <n v="27"/>
    <n v="0"/>
    <n v="0"/>
    <n v="26"/>
    <x v="0"/>
    <s v="Adult"/>
    <s v="Low"/>
    <n v="1"/>
  </r>
  <r>
    <x v="0"/>
    <x v="0"/>
    <s v="O'Brien, Mr. Timothy"/>
    <x v="0"/>
    <m/>
    <n v="0"/>
    <n v="0"/>
    <n v="7.8292000000000002"/>
    <x v="2"/>
    <s v="Child"/>
    <s v="Low"/>
    <n v="1"/>
  </r>
  <r>
    <x v="1"/>
    <x v="0"/>
    <s v="Leeni, Mr. Fahim (&quot;Philip Zenni&quot;)"/>
    <x v="0"/>
    <n v="22"/>
    <n v="0"/>
    <n v="0"/>
    <n v="7.2249999999999996"/>
    <x v="1"/>
    <s v="Adult"/>
    <s v="Low"/>
    <n v="1"/>
  </r>
  <r>
    <x v="1"/>
    <x v="0"/>
    <s v="Ohman, Miss. Velin"/>
    <x v="1"/>
    <n v="22"/>
    <n v="0"/>
    <n v="0"/>
    <n v="7.7750000000000004"/>
    <x v="0"/>
    <s v="Adult"/>
    <s v="Low"/>
    <n v="1"/>
  </r>
  <r>
    <x v="0"/>
    <x v="1"/>
    <s v="Wright, Mr. George"/>
    <x v="0"/>
    <n v="62"/>
    <n v="0"/>
    <n v="0"/>
    <n v="26.55"/>
    <x v="0"/>
    <s v="Adult"/>
    <s v="Low"/>
    <n v="1"/>
  </r>
  <r>
    <x v="1"/>
    <x v="1"/>
    <s v="Duff Gordon, Lady. (Lucille Christiana Sutherland) (&quot;Mrs Morgan&quot;)"/>
    <x v="1"/>
    <n v="48"/>
    <n v="1"/>
    <n v="0"/>
    <n v="39.6"/>
    <x v="1"/>
    <s v="Adult"/>
    <s v="Low"/>
    <n v="2"/>
  </r>
  <r>
    <x v="0"/>
    <x v="1"/>
    <s v="Robbins, Mr. Victor"/>
    <x v="0"/>
    <m/>
    <n v="0"/>
    <n v="0"/>
    <n v="227.52500000000001"/>
    <x v="1"/>
    <s v="Child"/>
    <s v="High"/>
    <n v="1"/>
  </r>
  <r>
    <x v="1"/>
    <x v="1"/>
    <s v="Taussig, Mrs. Emil (Tillie Mandelbaum)"/>
    <x v="1"/>
    <n v="39"/>
    <n v="1"/>
    <n v="1"/>
    <n v="79.650000000000006"/>
    <x v="0"/>
    <s v="Adult"/>
    <s v="High"/>
    <n v="3"/>
  </r>
  <r>
    <x v="1"/>
    <x v="0"/>
    <s v="de Messemaeker, Mrs. Guillaume Joseph (Emma)"/>
    <x v="1"/>
    <n v="36"/>
    <n v="1"/>
    <n v="0"/>
    <n v="17.399999999999999"/>
    <x v="0"/>
    <s v="Adult"/>
    <s v="Low"/>
    <n v="2"/>
  </r>
  <r>
    <x v="0"/>
    <x v="0"/>
    <s v="Morrow, Mr. Thomas Rowan"/>
    <x v="0"/>
    <m/>
    <n v="0"/>
    <n v="0"/>
    <n v="7.75"/>
    <x v="2"/>
    <s v="Child"/>
    <s v="Low"/>
    <n v="1"/>
  </r>
  <r>
    <x v="0"/>
    <x v="0"/>
    <s v="Sivic, Mr. Husein"/>
    <x v="0"/>
    <n v="40"/>
    <n v="0"/>
    <n v="0"/>
    <n v="7.8958000000000004"/>
    <x v="0"/>
    <s v="Adult"/>
    <s v="Low"/>
    <n v="1"/>
  </r>
  <r>
    <x v="0"/>
    <x v="2"/>
    <s v="Norman, Mr. Robert Douglas"/>
    <x v="0"/>
    <n v="28"/>
    <n v="0"/>
    <n v="0"/>
    <n v="13.5"/>
    <x v="0"/>
    <s v="Adult"/>
    <s v="Low"/>
    <n v="1"/>
  </r>
  <r>
    <x v="0"/>
    <x v="0"/>
    <s v="Simmons, Mr. John"/>
    <x v="0"/>
    <m/>
    <n v="0"/>
    <n v="0"/>
    <n v="8.0500000000000007"/>
    <x v="0"/>
    <s v="Child"/>
    <s v="Low"/>
    <n v="1"/>
  </r>
  <r>
    <x v="0"/>
    <x v="0"/>
    <s v="Meanwell, Miss. (Marion Ogden)"/>
    <x v="1"/>
    <m/>
    <n v="0"/>
    <n v="0"/>
    <n v="8.0500000000000007"/>
    <x v="0"/>
    <s v="Child"/>
    <s v="Low"/>
    <n v="1"/>
  </r>
  <r>
    <x v="0"/>
    <x v="0"/>
    <s v="Davies, Mr. Alfred J"/>
    <x v="0"/>
    <n v="24"/>
    <n v="2"/>
    <n v="0"/>
    <n v="24.15"/>
    <x v="0"/>
    <s v="Adult"/>
    <s v="Low"/>
    <n v="3"/>
  </r>
  <r>
    <x v="0"/>
    <x v="0"/>
    <s v="Stoytcheff, Mr. Ilia"/>
    <x v="0"/>
    <n v="19"/>
    <n v="0"/>
    <n v="0"/>
    <n v="7.8958000000000004"/>
    <x v="0"/>
    <s v="Adult"/>
    <s v="Low"/>
    <n v="1"/>
  </r>
  <r>
    <x v="0"/>
    <x v="0"/>
    <s v="Palsson, Mrs. Nils (Alma Cornelia Berglund)"/>
    <x v="1"/>
    <n v="29"/>
    <n v="0"/>
    <n v="4"/>
    <n v="21.074999999999999"/>
    <x v="0"/>
    <s v="Adult"/>
    <s v="Low"/>
    <n v="5"/>
  </r>
  <r>
    <x v="0"/>
    <x v="0"/>
    <s v="Doharr, Mr. Tannous"/>
    <x v="0"/>
    <m/>
    <n v="0"/>
    <n v="0"/>
    <n v="7.2291999999999996"/>
    <x v="1"/>
    <s v="Child"/>
    <s v="Low"/>
    <n v="1"/>
  </r>
  <r>
    <x v="1"/>
    <x v="0"/>
    <s v="Jonsson, Mr. Carl"/>
    <x v="0"/>
    <n v="32"/>
    <n v="0"/>
    <n v="0"/>
    <n v="7.8541999999999996"/>
    <x v="0"/>
    <s v="Adult"/>
    <s v="Low"/>
    <n v="1"/>
  </r>
  <r>
    <x v="1"/>
    <x v="2"/>
    <s v="Harris, Mr. George"/>
    <x v="0"/>
    <n v="62"/>
    <n v="0"/>
    <n v="0"/>
    <n v="10.5"/>
    <x v="0"/>
    <s v="Adult"/>
    <s v="Low"/>
    <n v="1"/>
  </r>
  <r>
    <x v="1"/>
    <x v="1"/>
    <s v="Appleton, Mrs. Edward Dale (Charlotte Lamson)"/>
    <x v="1"/>
    <n v="53"/>
    <n v="2"/>
    <n v="0"/>
    <n v="51.479199999999999"/>
    <x v="0"/>
    <s v="Adult"/>
    <s v="High"/>
    <n v="3"/>
  </r>
  <r>
    <x v="1"/>
    <x v="1"/>
    <s v="Flynn, Mr. John Irwin (&quot;Irving&quot;)"/>
    <x v="0"/>
    <n v="36"/>
    <n v="0"/>
    <n v="0"/>
    <n v="26.387499999999999"/>
    <x v="0"/>
    <s v="Adult"/>
    <s v="Low"/>
    <n v="1"/>
  </r>
  <r>
    <x v="1"/>
    <x v="0"/>
    <s v="Kelly, Miss. Mary"/>
    <x v="1"/>
    <m/>
    <n v="0"/>
    <n v="0"/>
    <n v="7.75"/>
    <x v="2"/>
    <s v="Child"/>
    <s v="Low"/>
    <n v="1"/>
  </r>
  <r>
    <x v="0"/>
    <x v="0"/>
    <s v="Rush, Mr. Alfred George John"/>
    <x v="0"/>
    <n v="16"/>
    <n v="0"/>
    <n v="0"/>
    <n v="8.0500000000000007"/>
    <x v="0"/>
    <s v="Child"/>
    <s v="Low"/>
    <n v="1"/>
  </r>
  <r>
    <x v="0"/>
    <x v="0"/>
    <s v="Patchett, Mr. George"/>
    <x v="0"/>
    <n v="19"/>
    <n v="0"/>
    <n v="0"/>
    <n v="14.5"/>
    <x v="0"/>
    <s v="Adult"/>
    <s v="Low"/>
    <n v="1"/>
  </r>
  <r>
    <x v="1"/>
    <x v="2"/>
    <s v="Garside, Miss. Ethel"/>
    <x v="1"/>
    <n v="34"/>
    <n v="0"/>
    <n v="0"/>
    <n v="13"/>
    <x v="0"/>
    <s v="Adult"/>
    <s v="Low"/>
    <n v="1"/>
  </r>
  <r>
    <x v="1"/>
    <x v="1"/>
    <s v="Silvey, Mrs. William Baird (Alice Munger)"/>
    <x v="1"/>
    <n v="39"/>
    <n v="1"/>
    <n v="0"/>
    <n v="55.9"/>
    <x v="0"/>
    <s v="Adult"/>
    <s v="High"/>
    <n v="2"/>
  </r>
  <r>
    <x v="0"/>
    <x v="0"/>
    <s v="Caram, Mrs. Joseph (Maria Elias)"/>
    <x v="1"/>
    <m/>
    <n v="1"/>
    <n v="0"/>
    <n v="14.458299999999999"/>
    <x v="1"/>
    <s v="Child"/>
    <s v="Low"/>
    <n v="2"/>
  </r>
  <r>
    <x v="1"/>
    <x v="0"/>
    <s v="Jussila, Mr. Eiriik"/>
    <x v="0"/>
    <n v="32"/>
    <n v="0"/>
    <n v="0"/>
    <n v="7.9249999999999998"/>
    <x v="0"/>
    <s v="Adult"/>
    <s v="Low"/>
    <n v="1"/>
  </r>
  <r>
    <x v="1"/>
    <x v="2"/>
    <s v="Christy, Miss. Julie Rachel"/>
    <x v="1"/>
    <n v="25"/>
    <n v="1"/>
    <n v="1"/>
    <n v="30"/>
    <x v="0"/>
    <s v="Adult"/>
    <s v="Low"/>
    <n v="3"/>
  </r>
  <r>
    <x v="1"/>
    <x v="1"/>
    <s v="Thayer, Mrs. John Borland (Marian Longstreth Morris)"/>
    <x v="1"/>
    <n v="39"/>
    <n v="1"/>
    <n v="1"/>
    <n v="110.88330000000001"/>
    <x v="1"/>
    <s v="Adult"/>
    <s v="High"/>
    <n v="3"/>
  </r>
  <r>
    <x v="0"/>
    <x v="2"/>
    <s v="Downton, Mr. William James"/>
    <x v="0"/>
    <n v="54"/>
    <n v="0"/>
    <n v="0"/>
    <n v="26"/>
    <x v="0"/>
    <s v="Adult"/>
    <s v="Low"/>
    <n v="1"/>
  </r>
  <r>
    <x v="0"/>
    <x v="1"/>
    <s v="Ross, Mr. John Hugo"/>
    <x v="0"/>
    <n v="36"/>
    <n v="0"/>
    <n v="0"/>
    <n v="40.125"/>
    <x v="1"/>
    <s v="Adult"/>
    <s v="Low"/>
    <n v="1"/>
  </r>
  <r>
    <x v="0"/>
    <x v="0"/>
    <s v="Paulner, Mr. Uscher"/>
    <x v="0"/>
    <m/>
    <n v="0"/>
    <n v="0"/>
    <n v="8.7125000000000004"/>
    <x v="1"/>
    <s v="Child"/>
    <s v="Low"/>
    <n v="1"/>
  </r>
  <r>
    <x v="1"/>
    <x v="1"/>
    <s v="Taussig, Miss. Ruth"/>
    <x v="1"/>
    <n v="18"/>
    <n v="0"/>
    <n v="2"/>
    <n v="79.650000000000006"/>
    <x v="0"/>
    <s v="Adult"/>
    <s v="High"/>
    <n v="3"/>
  </r>
  <r>
    <x v="0"/>
    <x v="2"/>
    <s v="Jarvis, Mr. John Denzil"/>
    <x v="0"/>
    <n v="47"/>
    <n v="0"/>
    <n v="0"/>
    <n v="15"/>
    <x v="0"/>
    <s v="Adult"/>
    <s v="Low"/>
    <n v="1"/>
  </r>
  <r>
    <x v="1"/>
    <x v="1"/>
    <s v="Frolicher-Stehli, Mr. Maxmillian"/>
    <x v="0"/>
    <n v="60"/>
    <n v="1"/>
    <n v="1"/>
    <n v="79.2"/>
    <x v="1"/>
    <s v="Adult"/>
    <s v="High"/>
    <n v="3"/>
  </r>
  <r>
    <x v="0"/>
    <x v="0"/>
    <s v="Gilinski, Mr. Eliezer"/>
    <x v="0"/>
    <n v="22"/>
    <n v="0"/>
    <n v="0"/>
    <n v="8.0500000000000007"/>
    <x v="0"/>
    <s v="Adult"/>
    <s v="Low"/>
    <n v="1"/>
  </r>
  <r>
    <x v="0"/>
    <x v="0"/>
    <s v="Murdlin, Mr. Joseph"/>
    <x v="0"/>
    <m/>
    <n v="0"/>
    <n v="0"/>
    <n v="8.0500000000000007"/>
    <x v="0"/>
    <s v="Child"/>
    <s v="Low"/>
    <n v="1"/>
  </r>
  <r>
    <x v="0"/>
    <x v="0"/>
    <s v="Rintamaki, Mr. Matti"/>
    <x v="0"/>
    <n v="35"/>
    <n v="0"/>
    <n v="0"/>
    <n v="7.125"/>
    <x v="0"/>
    <s v="Adult"/>
    <s v="Low"/>
    <n v="1"/>
  </r>
  <r>
    <x v="1"/>
    <x v="1"/>
    <s v="Stephenson, Mrs. Walter Bertram (Martha Eustis)"/>
    <x v="1"/>
    <n v="52"/>
    <n v="1"/>
    <n v="0"/>
    <n v="78.2667"/>
    <x v="1"/>
    <s v="Adult"/>
    <s v="High"/>
    <n v="2"/>
  </r>
  <r>
    <x v="0"/>
    <x v="0"/>
    <s v="Elsbury, Mr. William James"/>
    <x v="0"/>
    <n v="47"/>
    <n v="0"/>
    <n v="0"/>
    <n v="7.25"/>
    <x v="0"/>
    <s v="Adult"/>
    <s v="Low"/>
    <n v="1"/>
  </r>
  <r>
    <x v="0"/>
    <x v="0"/>
    <s v="Bourke, Miss. Mary"/>
    <x v="1"/>
    <m/>
    <n v="0"/>
    <n v="2"/>
    <n v="7.75"/>
    <x v="2"/>
    <s v="Child"/>
    <s v="Low"/>
    <n v="3"/>
  </r>
  <r>
    <x v="0"/>
    <x v="2"/>
    <s v="Chapman, Mr. John Henry"/>
    <x v="0"/>
    <n v="37"/>
    <n v="1"/>
    <n v="0"/>
    <n v="26"/>
    <x v="0"/>
    <s v="Adult"/>
    <s v="Low"/>
    <n v="2"/>
  </r>
  <r>
    <x v="0"/>
    <x v="0"/>
    <s v="Van Impe, Mr. Jean Baptiste"/>
    <x v="0"/>
    <n v="36"/>
    <n v="1"/>
    <n v="1"/>
    <n v="24.15"/>
    <x v="0"/>
    <s v="Adult"/>
    <s v="Low"/>
    <n v="3"/>
  </r>
  <r>
    <x v="1"/>
    <x v="2"/>
    <s v="Leitch, Miss. Jessie Wills"/>
    <x v="1"/>
    <m/>
    <n v="0"/>
    <n v="0"/>
    <n v="33"/>
    <x v="0"/>
    <s v="Child"/>
    <s v="Low"/>
    <n v="1"/>
  </r>
  <r>
    <x v="0"/>
    <x v="0"/>
    <s v="Johnson, Mr. Alfred"/>
    <x v="0"/>
    <n v="49"/>
    <n v="0"/>
    <n v="0"/>
    <n v="0"/>
    <x v="0"/>
    <s v="Adult"/>
    <s v="Low"/>
    <n v="1"/>
  </r>
  <r>
    <x v="0"/>
    <x v="0"/>
    <s v="Boulos, Mr. Hanna"/>
    <x v="0"/>
    <m/>
    <n v="0"/>
    <n v="0"/>
    <n v="7.2249999999999996"/>
    <x v="1"/>
    <s v="Child"/>
    <s v="Low"/>
    <n v="1"/>
  </r>
  <r>
    <x v="1"/>
    <x v="1"/>
    <s v="Duff Gordon, Sir. Cosmo Edmund (&quot;Mr Morgan&quot;)"/>
    <x v="0"/>
    <n v="49"/>
    <n v="1"/>
    <n v="0"/>
    <n v="56.929200000000002"/>
    <x v="1"/>
    <s v="Adult"/>
    <s v="High"/>
    <n v="2"/>
  </r>
  <r>
    <x v="1"/>
    <x v="2"/>
    <s v="Jacobsohn, Mrs. Sidney Samuel (Amy Frances Christy)"/>
    <x v="1"/>
    <n v="24"/>
    <n v="2"/>
    <n v="1"/>
    <n v="27"/>
    <x v="0"/>
    <s v="Adult"/>
    <s v="Low"/>
    <n v="4"/>
  </r>
  <r>
    <x v="0"/>
    <x v="0"/>
    <s v="Slabenoff, Mr. Petco"/>
    <x v="0"/>
    <m/>
    <n v="0"/>
    <n v="0"/>
    <n v="7.8958000000000004"/>
    <x v="0"/>
    <s v="Child"/>
    <s v="Low"/>
    <n v="1"/>
  </r>
  <r>
    <x v="0"/>
    <x v="1"/>
    <s v="Harrington, Mr. Charles H"/>
    <x v="0"/>
    <m/>
    <n v="0"/>
    <n v="0"/>
    <n v="42.4"/>
    <x v="0"/>
    <s v="Child"/>
    <s v="Low"/>
    <n v="1"/>
  </r>
  <r>
    <x v="0"/>
    <x v="0"/>
    <s v="Torber, Mr. Ernst William"/>
    <x v="0"/>
    <n v="44"/>
    <n v="0"/>
    <n v="0"/>
    <n v="8.0500000000000007"/>
    <x v="0"/>
    <s v="Adult"/>
    <s v="Low"/>
    <n v="1"/>
  </r>
  <r>
    <x v="1"/>
    <x v="1"/>
    <s v="Homer, Mr. Harry (&quot;Mr E Haven&quot;)"/>
    <x v="0"/>
    <n v="35"/>
    <n v="0"/>
    <n v="0"/>
    <n v="26.55"/>
    <x v="1"/>
    <s v="Adult"/>
    <s v="Low"/>
    <n v="1"/>
  </r>
  <r>
    <x v="0"/>
    <x v="0"/>
    <s v="Lindell, Mr. Edvard Bengtsson"/>
    <x v="0"/>
    <n v="36"/>
    <n v="1"/>
    <n v="0"/>
    <n v="15.55"/>
    <x v="0"/>
    <s v="Adult"/>
    <s v="Low"/>
    <n v="2"/>
  </r>
  <r>
    <x v="0"/>
    <x v="0"/>
    <s v="Karaic, Mr. Milan"/>
    <x v="0"/>
    <n v="30"/>
    <n v="0"/>
    <n v="0"/>
    <n v="7.8958000000000004"/>
    <x v="0"/>
    <s v="Adult"/>
    <s v="Low"/>
    <n v="1"/>
  </r>
  <r>
    <x v="1"/>
    <x v="1"/>
    <s v="Daniel, Mr. Robert Williams"/>
    <x v="0"/>
    <n v="27"/>
    <n v="0"/>
    <n v="0"/>
    <n v="30.5"/>
    <x v="0"/>
    <s v="Adult"/>
    <s v="Low"/>
    <n v="1"/>
  </r>
  <r>
    <x v="1"/>
    <x v="2"/>
    <s v="Laroche, Mrs. Joseph (Juliette Marie Louise Lafargue)"/>
    <x v="1"/>
    <n v="22"/>
    <n v="1"/>
    <n v="2"/>
    <n v="41.5792"/>
    <x v="1"/>
    <s v="Adult"/>
    <s v="Low"/>
    <n v="4"/>
  </r>
  <r>
    <x v="1"/>
    <x v="1"/>
    <s v="Shutes, Miss. Elizabeth W"/>
    <x v="1"/>
    <n v="40"/>
    <n v="0"/>
    <n v="0"/>
    <n v="153.46250000000001"/>
    <x v="0"/>
    <s v="Adult"/>
    <s v="High"/>
    <n v="1"/>
  </r>
  <r>
    <x v="0"/>
    <x v="0"/>
    <s v="Andersson, Mrs. Anders Johan (Alfrida Konstantia Brogren)"/>
    <x v="1"/>
    <n v="39"/>
    <n v="1"/>
    <n v="5"/>
    <n v="31.274999999999999"/>
    <x v="0"/>
    <s v="Adult"/>
    <s v="Low"/>
    <n v="7"/>
  </r>
  <r>
    <x v="0"/>
    <x v="0"/>
    <s v="Jardin, Mr. Jose Neto"/>
    <x v="0"/>
    <m/>
    <n v="0"/>
    <n v="0"/>
    <n v="7.05"/>
    <x v="0"/>
    <s v="Child"/>
    <s v="Low"/>
    <n v="1"/>
  </r>
  <r>
    <x v="1"/>
    <x v="0"/>
    <s v="Murphy, Miss. Margaret Jane"/>
    <x v="1"/>
    <m/>
    <n v="1"/>
    <n v="0"/>
    <n v="15.5"/>
    <x v="2"/>
    <s v="Child"/>
    <s v="Low"/>
    <n v="2"/>
  </r>
  <r>
    <x v="0"/>
    <x v="0"/>
    <s v="Horgan, Mr. John"/>
    <x v="0"/>
    <m/>
    <n v="0"/>
    <n v="0"/>
    <n v="7.75"/>
    <x v="2"/>
    <s v="Child"/>
    <s v="Low"/>
    <n v="1"/>
  </r>
  <r>
    <x v="0"/>
    <x v="0"/>
    <s v="Brocklebank, Mr. William Alfred"/>
    <x v="0"/>
    <n v="35"/>
    <n v="0"/>
    <n v="0"/>
    <n v="8.0500000000000007"/>
    <x v="0"/>
    <s v="Adult"/>
    <s v="Low"/>
    <n v="1"/>
  </r>
  <r>
    <x v="1"/>
    <x v="2"/>
    <s v="Herman, Miss. Alice"/>
    <x v="1"/>
    <n v="24"/>
    <n v="1"/>
    <n v="2"/>
    <n v="65"/>
    <x v="0"/>
    <s v="Adult"/>
    <s v="High"/>
    <n v="4"/>
  </r>
  <r>
    <x v="0"/>
    <x v="0"/>
    <s v="Danbom, Mr. Ernst Gilbert"/>
    <x v="0"/>
    <n v="34"/>
    <n v="1"/>
    <n v="1"/>
    <n v="14.4"/>
    <x v="0"/>
    <s v="Adult"/>
    <s v="Low"/>
    <n v="3"/>
  </r>
  <r>
    <x v="0"/>
    <x v="0"/>
    <s v="Lobb, Mrs. William Arthur (Cordelia K Stanlick)"/>
    <x v="1"/>
    <n v="26"/>
    <n v="1"/>
    <n v="0"/>
    <n v="16.100000000000001"/>
    <x v="0"/>
    <s v="Adult"/>
    <s v="Low"/>
    <n v="2"/>
  </r>
  <r>
    <x v="1"/>
    <x v="2"/>
    <s v="Becker, Miss. Marion Louise"/>
    <x v="1"/>
    <n v="4"/>
    <n v="2"/>
    <n v="1"/>
    <n v="39"/>
    <x v="0"/>
    <s v="Child"/>
    <s v="Low"/>
    <n v="4"/>
  </r>
  <r>
    <x v="0"/>
    <x v="2"/>
    <s v="Gavey, Mr. Lawrence"/>
    <x v="0"/>
    <n v="26"/>
    <n v="0"/>
    <n v="0"/>
    <n v="10.5"/>
    <x v="0"/>
    <s v="Adult"/>
    <s v="Low"/>
    <n v="1"/>
  </r>
  <r>
    <x v="0"/>
    <x v="0"/>
    <s v="Yasbeck, Mr. Antoni"/>
    <x v="0"/>
    <n v="27"/>
    <n v="1"/>
    <n v="0"/>
    <n v="14.4542"/>
    <x v="1"/>
    <s v="Adult"/>
    <s v="Low"/>
    <n v="2"/>
  </r>
  <r>
    <x v="1"/>
    <x v="1"/>
    <s v="Kimball, Mr. Edwin Nelson Jr"/>
    <x v="0"/>
    <n v="42"/>
    <n v="1"/>
    <n v="0"/>
    <n v="52.554200000000002"/>
    <x v="0"/>
    <s v="Adult"/>
    <s v="High"/>
    <n v="2"/>
  </r>
  <r>
    <x v="1"/>
    <x v="0"/>
    <s v="Nakid, Mr. Sahid"/>
    <x v="0"/>
    <n v="20"/>
    <n v="1"/>
    <n v="1"/>
    <n v="15.7417"/>
    <x v="1"/>
    <s v="Adult"/>
    <s v="Low"/>
    <n v="3"/>
  </r>
  <r>
    <x v="0"/>
    <x v="0"/>
    <s v="Hansen, Mr. Henry Damsgaard"/>
    <x v="0"/>
    <n v="21"/>
    <n v="0"/>
    <n v="0"/>
    <n v="7.8541999999999996"/>
    <x v="0"/>
    <s v="Adult"/>
    <s v="Low"/>
    <n v="1"/>
  </r>
  <r>
    <x v="0"/>
    <x v="0"/>
    <s v="Bowen, Mr. David John &quot;Dai&quot;"/>
    <x v="0"/>
    <n v="21"/>
    <n v="0"/>
    <n v="0"/>
    <n v="16.100000000000001"/>
    <x v="0"/>
    <s v="Adult"/>
    <s v="Low"/>
    <n v="1"/>
  </r>
  <r>
    <x v="0"/>
    <x v="1"/>
    <s v="Sutton, Mr. Frederick"/>
    <x v="0"/>
    <n v="61"/>
    <n v="0"/>
    <n v="0"/>
    <n v="32.320799999999998"/>
    <x v="0"/>
    <s v="Adult"/>
    <s v="Low"/>
    <n v="1"/>
  </r>
  <r>
    <x v="0"/>
    <x v="2"/>
    <s v="Kirkland, Rev. Charles Leonard"/>
    <x v="0"/>
    <n v="57"/>
    <n v="0"/>
    <n v="0"/>
    <n v="12.35"/>
    <x v="2"/>
    <s v="Adult"/>
    <s v="Low"/>
    <n v="1"/>
  </r>
  <r>
    <x v="1"/>
    <x v="1"/>
    <s v="Longley, Miss. Gretchen Fiske"/>
    <x v="1"/>
    <n v="21"/>
    <n v="0"/>
    <n v="0"/>
    <n v="77.958299999999994"/>
    <x v="0"/>
    <s v="Adult"/>
    <s v="High"/>
    <n v="1"/>
  </r>
  <r>
    <x v="0"/>
    <x v="0"/>
    <s v="Bostandyeff, Mr. Guentcho"/>
    <x v="0"/>
    <n v="26"/>
    <n v="0"/>
    <n v="0"/>
    <n v="7.8958000000000004"/>
    <x v="0"/>
    <s v="Adult"/>
    <s v="Low"/>
    <n v="1"/>
  </r>
  <r>
    <x v="0"/>
    <x v="0"/>
    <s v="O'Connell, Mr. Patrick D"/>
    <x v="0"/>
    <m/>
    <n v="0"/>
    <n v="0"/>
    <n v="7.7332999999999998"/>
    <x v="2"/>
    <s v="Child"/>
    <s v="Low"/>
    <n v="1"/>
  </r>
  <r>
    <x v="1"/>
    <x v="1"/>
    <s v="Barkworth, Mr. Algernon Henry Wilson"/>
    <x v="0"/>
    <n v="80"/>
    <n v="0"/>
    <n v="0"/>
    <n v="30"/>
    <x v="0"/>
    <s v="Adult"/>
    <s v="Low"/>
    <n v="1"/>
  </r>
  <r>
    <x v="0"/>
    <x v="0"/>
    <s v="Lundahl, Mr. Johan Svensson"/>
    <x v="0"/>
    <n v="51"/>
    <n v="0"/>
    <n v="0"/>
    <n v="7.0541999999999998"/>
    <x v="0"/>
    <s v="Adult"/>
    <s v="Low"/>
    <n v="1"/>
  </r>
  <r>
    <x v="1"/>
    <x v="1"/>
    <s v="Stahelin-Maeglin, Dr. Max"/>
    <x v="0"/>
    <n v="32"/>
    <n v="0"/>
    <n v="0"/>
    <n v="30.5"/>
    <x v="1"/>
    <s v="Adult"/>
    <s v="Low"/>
    <n v="1"/>
  </r>
  <r>
    <x v="0"/>
    <x v="1"/>
    <s v="Parr, Mr. William Henry Marsh"/>
    <x v="0"/>
    <m/>
    <n v="0"/>
    <n v="0"/>
    <n v="0"/>
    <x v="0"/>
    <s v="Child"/>
    <s v="Low"/>
    <n v="1"/>
  </r>
  <r>
    <x v="0"/>
    <x v="0"/>
    <s v="Skoog, Miss. Mabel"/>
    <x v="1"/>
    <n v="9"/>
    <n v="3"/>
    <n v="2"/>
    <n v="27.9"/>
    <x v="0"/>
    <s v="Child"/>
    <s v="Low"/>
    <n v="6"/>
  </r>
  <r>
    <x v="1"/>
    <x v="2"/>
    <s v="Davis, Miss. Mary"/>
    <x v="1"/>
    <n v="28"/>
    <n v="0"/>
    <n v="0"/>
    <n v="13"/>
    <x v="0"/>
    <s v="Adult"/>
    <s v="Low"/>
    <n v="1"/>
  </r>
  <r>
    <x v="0"/>
    <x v="0"/>
    <s v="Leinonen, Mr. Antti Gustaf"/>
    <x v="0"/>
    <n v="32"/>
    <n v="0"/>
    <n v="0"/>
    <n v="7.9249999999999998"/>
    <x v="0"/>
    <s v="Adult"/>
    <s v="Low"/>
    <n v="1"/>
  </r>
  <r>
    <x v="0"/>
    <x v="2"/>
    <s v="Collyer, Mr. Harvey"/>
    <x v="0"/>
    <n v="31"/>
    <n v="1"/>
    <n v="1"/>
    <n v="26.25"/>
    <x v="0"/>
    <s v="Adult"/>
    <s v="Low"/>
    <n v="3"/>
  </r>
  <r>
    <x v="0"/>
    <x v="0"/>
    <s v="Panula, Mrs. Juha (Maria Emilia Ojala)"/>
    <x v="1"/>
    <n v="41"/>
    <n v="0"/>
    <n v="5"/>
    <n v="39.6875"/>
    <x v="0"/>
    <s v="Adult"/>
    <s v="Low"/>
    <n v="6"/>
  </r>
  <r>
    <x v="0"/>
    <x v="0"/>
    <s v="Thorneycroft, Mr. Percival"/>
    <x v="0"/>
    <m/>
    <n v="1"/>
    <n v="0"/>
    <n v="16.100000000000001"/>
    <x v="0"/>
    <s v="Child"/>
    <s v="Low"/>
    <n v="2"/>
  </r>
  <r>
    <x v="0"/>
    <x v="0"/>
    <s v="Jensen, Mr. Hans Peder"/>
    <x v="0"/>
    <n v="20"/>
    <n v="0"/>
    <n v="0"/>
    <n v="7.8541999999999996"/>
    <x v="0"/>
    <s v="Adult"/>
    <s v="Low"/>
    <n v="1"/>
  </r>
  <r>
    <x v="1"/>
    <x v="1"/>
    <s v="Sagesser, Mlle. Emma"/>
    <x v="1"/>
    <n v="24"/>
    <n v="0"/>
    <n v="0"/>
    <n v="69.3"/>
    <x v="1"/>
    <s v="Adult"/>
    <s v="High"/>
    <n v="1"/>
  </r>
  <r>
    <x v="0"/>
    <x v="0"/>
    <s v="Skoog, Miss. Margit Elizabeth"/>
    <x v="1"/>
    <n v="2"/>
    <n v="3"/>
    <n v="2"/>
    <n v="27.9"/>
    <x v="0"/>
    <s v="Child"/>
    <s v="Low"/>
    <n v="6"/>
  </r>
  <r>
    <x v="1"/>
    <x v="0"/>
    <s v="Foo, Mr. Choong"/>
    <x v="0"/>
    <m/>
    <n v="0"/>
    <n v="0"/>
    <n v="56.495800000000003"/>
    <x v="0"/>
    <s v="Child"/>
    <s v="High"/>
    <n v="1"/>
  </r>
  <r>
    <x v="1"/>
    <x v="0"/>
    <s v="Baclini, Miss. Eugenie"/>
    <x v="1"/>
    <n v="0.75"/>
    <n v="2"/>
    <n v="1"/>
    <n v="19.258299999999998"/>
    <x v="1"/>
    <s v="Child"/>
    <s v="Low"/>
    <n v="4"/>
  </r>
  <r>
    <x v="1"/>
    <x v="1"/>
    <s v="Harper, Mr. Henry Sleeper"/>
    <x v="0"/>
    <n v="48"/>
    <n v="1"/>
    <n v="0"/>
    <n v="76.729200000000006"/>
    <x v="1"/>
    <s v="Adult"/>
    <s v="High"/>
    <n v="2"/>
  </r>
  <r>
    <x v="0"/>
    <x v="0"/>
    <s v="Cor, Mr. Liudevit"/>
    <x v="0"/>
    <n v="19"/>
    <n v="0"/>
    <n v="0"/>
    <n v="7.8958000000000004"/>
    <x v="0"/>
    <s v="Adult"/>
    <s v="Low"/>
    <n v="1"/>
  </r>
  <r>
    <x v="1"/>
    <x v="1"/>
    <s v="Simonius-Blumer, Col. Oberst Alfons"/>
    <x v="0"/>
    <n v="56"/>
    <n v="0"/>
    <n v="0"/>
    <n v="35.5"/>
    <x v="1"/>
    <s v="Adult"/>
    <s v="Low"/>
    <n v="1"/>
  </r>
  <r>
    <x v="0"/>
    <x v="0"/>
    <s v="Willey, Mr. Edward"/>
    <x v="0"/>
    <m/>
    <n v="0"/>
    <n v="0"/>
    <n v="7.55"/>
    <x v="0"/>
    <s v="Child"/>
    <s v="Low"/>
    <n v="1"/>
  </r>
  <r>
    <x v="1"/>
    <x v="0"/>
    <s v="Stanley, Miss. Amy Zillah Elsie"/>
    <x v="1"/>
    <n v="23"/>
    <n v="0"/>
    <n v="0"/>
    <n v="7.55"/>
    <x v="0"/>
    <s v="Adult"/>
    <s v="Low"/>
    <n v="1"/>
  </r>
  <r>
    <x v="0"/>
    <x v="0"/>
    <s v="Mitkoff, Mr. Mito"/>
    <x v="0"/>
    <m/>
    <n v="0"/>
    <n v="0"/>
    <n v="7.8958000000000004"/>
    <x v="0"/>
    <s v="Child"/>
    <s v="Low"/>
    <n v="1"/>
  </r>
  <r>
    <x v="1"/>
    <x v="2"/>
    <s v="Doling, Miss. Elsie"/>
    <x v="1"/>
    <n v="18"/>
    <n v="0"/>
    <n v="1"/>
    <n v="23"/>
    <x v="0"/>
    <s v="Adult"/>
    <s v="Low"/>
    <n v="2"/>
  </r>
  <r>
    <x v="0"/>
    <x v="0"/>
    <s v="Kalvik, Mr. Johannes Halvorsen"/>
    <x v="0"/>
    <n v="21"/>
    <n v="0"/>
    <n v="0"/>
    <n v="8.4332999999999991"/>
    <x v="0"/>
    <s v="Adult"/>
    <s v="Low"/>
    <n v="1"/>
  </r>
  <r>
    <x v="1"/>
    <x v="0"/>
    <s v="O'Leary, Miss. Hanora &quot;Norah&quot;"/>
    <x v="1"/>
    <m/>
    <n v="0"/>
    <n v="0"/>
    <n v="7.8292000000000002"/>
    <x v="2"/>
    <s v="Child"/>
    <s v="Low"/>
    <n v="1"/>
  </r>
  <r>
    <x v="0"/>
    <x v="0"/>
    <s v="Hegarty, Miss. Hanora &quot;Nora&quot;"/>
    <x v="1"/>
    <n v="18"/>
    <n v="0"/>
    <n v="0"/>
    <n v="6.75"/>
    <x v="2"/>
    <s v="Adult"/>
    <s v="Low"/>
    <n v="1"/>
  </r>
  <r>
    <x v="0"/>
    <x v="2"/>
    <s v="Hickman, Mr. Leonard Mark"/>
    <x v="0"/>
    <n v="24"/>
    <n v="2"/>
    <n v="0"/>
    <n v="73.5"/>
    <x v="0"/>
    <s v="Adult"/>
    <s v="High"/>
    <n v="3"/>
  </r>
  <r>
    <x v="0"/>
    <x v="0"/>
    <s v="Radeff, Mr. Alexander"/>
    <x v="0"/>
    <m/>
    <n v="0"/>
    <n v="0"/>
    <n v="7.8958000000000004"/>
    <x v="0"/>
    <s v="Child"/>
    <s v="Low"/>
    <n v="1"/>
  </r>
  <r>
    <x v="0"/>
    <x v="0"/>
    <s v="Bourke, Mrs. John (Catherine)"/>
    <x v="1"/>
    <n v="32"/>
    <n v="1"/>
    <n v="1"/>
    <n v="15.5"/>
    <x v="2"/>
    <s v="Adult"/>
    <s v="Low"/>
    <n v="3"/>
  </r>
  <r>
    <x v="0"/>
    <x v="2"/>
    <s v="Eitemiller, Mr. George Floyd"/>
    <x v="0"/>
    <n v="23"/>
    <n v="0"/>
    <n v="0"/>
    <n v="13"/>
    <x v="0"/>
    <s v="Adult"/>
    <s v="Low"/>
    <n v="1"/>
  </r>
  <r>
    <x v="0"/>
    <x v="1"/>
    <s v="Newell, Mr. Arthur Webster"/>
    <x v="0"/>
    <n v="58"/>
    <n v="0"/>
    <n v="2"/>
    <n v="113.27500000000001"/>
    <x v="1"/>
    <s v="Adult"/>
    <s v="High"/>
    <n v="3"/>
  </r>
  <r>
    <x v="1"/>
    <x v="1"/>
    <s v="Frauenthal, Dr. Henry William"/>
    <x v="0"/>
    <n v="50"/>
    <n v="2"/>
    <n v="0"/>
    <n v="133.65"/>
    <x v="0"/>
    <s v="Adult"/>
    <s v="High"/>
    <n v="3"/>
  </r>
  <r>
    <x v="0"/>
    <x v="0"/>
    <s v="Badt, Mr. Mohamed"/>
    <x v="0"/>
    <n v="40"/>
    <n v="0"/>
    <n v="0"/>
    <n v="7.2249999999999996"/>
    <x v="1"/>
    <s v="Adult"/>
    <s v="Low"/>
    <n v="1"/>
  </r>
  <r>
    <x v="0"/>
    <x v="1"/>
    <s v="Colley, Mr. Edward Pomeroy"/>
    <x v="0"/>
    <n v="47"/>
    <n v="0"/>
    <n v="0"/>
    <n v="25.587499999999999"/>
    <x v="0"/>
    <s v="Adult"/>
    <s v="Low"/>
    <n v="1"/>
  </r>
  <r>
    <x v="0"/>
    <x v="0"/>
    <s v="Coleff, Mr. Peju"/>
    <x v="0"/>
    <n v="36"/>
    <n v="0"/>
    <n v="0"/>
    <n v="7.4958"/>
    <x v="0"/>
    <s v="Adult"/>
    <s v="Low"/>
    <n v="1"/>
  </r>
  <r>
    <x v="1"/>
    <x v="0"/>
    <s v="Lindqvist, Mr. Eino William"/>
    <x v="0"/>
    <n v="20"/>
    <n v="1"/>
    <n v="0"/>
    <n v="7.9249999999999998"/>
    <x v="0"/>
    <s v="Adult"/>
    <s v="Low"/>
    <n v="2"/>
  </r>
  <r>
    <x v="0"/>
    <x v="2"/>
    <s v="Hickman, Mr. Lewis"/>
    <x v="0"/>
    <n v="32"/>
    <n v="2"/>
    <n v="0"/>
    <n v="73.5"/>
    <x v="0"/>
    <s v="Adult"/>
    <s v="High"/>
    <n v="3"/>
  </r>
  <r>
    <x v="0"/>
    <x v="2"/>
    <s v="Butler, Mr. Reginald Fenton"/>
    <x v="0"/>
    <n v="25"/>
    <n v="0"/>
    <n v="0"/>
    <n v="13"/>
    <x v="0"/>
    <s v="Adult"/>
    <s v="Low"/>
    <n v="1"/>
  </r>
  <r>
    <x v="0"/>
    <x v="0"/>
    <s v="Rommetvedt, Mr. Knud Paust"/>
    <x v="0"/>
    <m/>
    <n v="0"/>
    <n v="0"/>
    <n v="7.7750000000000004"/>
    <x v="0"/>
    <s v="Child"/>
    <s v="Low"/>
    <n v="1"/>
  </r>
  <r>
    <x v="0"/>
    <x v="0"/>
    <s v="Cook, Mr. Jacob"/>
    <x v="0"/>
    <n v="43"/>
    <n v="0"/>
    <n v="0"/>
    <n v="8.0500000000000007"/>
    <x v="0"/>
    <s v="Adult"/>
    <s v="Low"/>
    <n v="1"/>
  </r>
  <r>
    <x v="1"/>
    <x v="1"/>
    <s v="Taylor, Mrs. Elmer Zebley (Juliet Cummins Wright)"/>
    <x v="1"/>
    <m/>
    <n v="1"/>
    <n v="0"/>
    <n v="52"/>
    <x v="0"/>
    <s v="Child"/>
    <s v="High"/>
    <n v="2"/>
  </r>
  <r>
    <x v="1"/>
    <x v="2"/>
    <s v="Brown, Mrs. Thomas William Solomon (Elizabeth Catherine Ford)"/>
    <x v="1"/>
    <n v="40"/>
    <n v="1"/>
    <n v="1"/>
    <n v="39"/>
    <x v="0"/>
    <s v="Adult"/>
    <s v="Low"/>
    <n v="3"/>
  </r>
  <r>
    <x v="0"/>
    <x v="1"/>
    <s v="Davidson, Mr. Thornton"/>
    <x v="0"/>
    <n v="31"/>
    <n v="1"/>
    <n v="0"/>
    <n v="52"/>
    <x v="0"/>
    <s v="Adult"/>
    <s v="High"/>
    <n v="2"/>
  </r>
  <r>
    <x v="0"/>
    <x v="2"/>
    <s v="Mitchell, Mr. Henry Michael"/>
    <x v="0"/>
    <n v="70"/>
    <n v="0"/>
    <n v="0"/>
    <n v="10.5"/>
    <x v="0"/>
    <s v="Adult"/>
    <s v="Low"/>
    <n v="1"/>
  </r>
  <r>
    <x v="1"/>
    <x v="2"/>
    <s v="Wilhelms, Mr. Charles"/>
    <x v="0"/>
    <n v="31"/>
    <n v="0"/>
    <n v="0"/>
    <n v="13"/>
    <x v="0"/>
    <s v="Adult"/>
    <s v="Low"/>
    <n v="1"/>
  </r>
  <r>
    <x v="0"/>
    <x v="2"/>
    <s v="Watson, Mr. Ennis Hastings"/>
    <x v="0"/>
    <m/>
    <n v="0"/>
    <n v="0"/>
    <n v="0"/>
    <x v="0"/>
    <s v="Child"/>
    <s v="Low"/>
    <n v="1"/>
  </r>
  <r>
    <x v="0"/>
    <x v="0"/>
    <s v="Edvardsson, Mr. Gustaf Hjalmar"/>
    <x v="0"/>
    <n v="18"/>
    <n v="0"/>
    <n v="0"/>
    <n v="7.7750000000000004"/>
    <x v="0"/>
    <s v="Adult"/>
    <s v="Low"/>
    <n v="1"/>
  </r>
  <r>
    <x v="0"/>
    <x v="0"/>
    <s v="Sawyer, Mr. Frederick Charles"/>
    <x v="0"/>
    <n v="24.5"/>
    <n v="0"/>
    <n v="0"/>
    <n v="8.0500000000000007"/>
    <x v="0"/>
    <s v="Adult"/>
    <s v="Low"/>
    <n v="1"/>
  </r>
  <r>
    <x v="1"/>
    <x v="0"/>
    <s v="Turja, Miss. Anna Sofia"/>
    <x v="1"/>
    <n v="18"/>
    <n v="0"/>
    <n v="0"/>
    <n v="9.8416999999999994"/>
    <x v="0"/>
    <s v="Adult"/>
    <s v="Low"/>
    <n v="1"/>
  </r>
  <r>
    <x v="0"/>
    <x v="0"/>
    <s v="Goodwin, Mrs. Frederick (Augusta Tyler)"/>
    <x v="1"/>
    <n v="43"/>
    <n v="1"/>
    <n v="6"/>
    <n v="46.9"/>
    <x v="0"/>
    <s v="Adult"/>
    <s v="Low"/>
    <n v="8"/>
  </r>
  <r>
    <x v="1"/>
    <x v="1"/>
    <s v="Cardeza, Mr. Thomas Drake Martinez"/>
    <x v="0"/>
    <n v="36"/>
    <n v="0"/>
    <n v="1"/>
    <n v="512.32920000000001"/>
    <x v="1"/>
    <s v="Adult"/>
    <s v="High"/>
    <n v="2"/>
  </r>
  <r>
    <x v="0"/>
    <x v="0"/>
    <s v="Peters, Miss. Katie"/>
    <x v="1"/>
    <m/>
    <n v="0"/>
    <n v="0"/>
    <n v="8.1374999999999993"/>
    <x v="2"/>
    <s v="Child"/>
    <s v="Low"/>
    <n v="1"/>
  </r>
  <r>
    <x v="1"/>
    <x v="1"/>
    <s v="Hassab, Mr. Hammad"/>
    <x v="0"/>
    <n v="27"/>
    <n v="0"/>
    <n v="0"/>
    <n v="76.729200000000006"/>
    <x v="1"/>
    <s v="Adult"/>
    <s v="High"/>
    <n v="1"/>
  </r>
  <r>
    <x v="0"/>
    <x v="0"/>
    <s v="Olsvigen, Mr. Thor Anderson"/>
    <x v="0"/>
    <n v="20"/>
    <n v="0"/>
    <n v="0"/>
    <n v="9.2249999999999996"/>
    <x v="0"/>
    <s v="Adult"/>
    <s v="Low"/>
    <n v="1"/>
  </r>
  <r>
    <x v="0"/>
    <x v="0"/>
    <s v="Goodwin, Mr. Charles Edward"/>
    <x v="0"/>
    <n v="14"/>
    <n v="5"/>
    <n v="2"/>
    <n v="46.9"/>
    <x v="0"/>
    <s v="Child"/>
    <s v="Low"/>
    <n v="8"/>
  </r>
  <r>
    <x v="0"/>
    <x v="2"/>
    <s v="Brown, Mr. Thomas William Solomon"/>
    <x v="0"/>
    <n v="60"/>
    <n v="1"/>
    <n v="1"/>
    <n v="39"/>
    <x v="0"/>
    <s v="Adult"/>
    <s v="Low"/>
    <n v="3"/>
  </r>
  <r>
    <x v="0"/>
    <x v="2"/>
    <s v="Laroche, Mr. Joseph Philippe Lemercier"/>
    <x v="0"/>
    <n v="25"/>
    <n v="1"/>
    <n v="2"/>
    <n v="41.5792"/>
    <x v="1"/>
    <s v="Adult"/>
    <s v="Low"/>
    <n v="4"/>
  </r>
  <r>
    <x v="0"/>
    <x v="0"/>
    <s v="Panula, Mr. Jaako Arnold"/>
    <x v="0"/>
    <n v="14"/>
    <n v="4"/>
    <n v="1"/>
    <n v="39.6875"/>
    <x v="0"/>
    <s v="Child"/>
    <s v="Low"/>
    <n v="6"/>
  </r>
  <r>
    <x v="0"/>
    <x v="0"/>
    <s v="Dakic, Mr. Branko"/>
    <x v="0"/>
    <n v="19"/>
    <n v="0"/>
    <n v="0"/>
    <n v="10.1708"/>
    <x v="0"/>
    <s v="Adult"/>
    <s v="Low"/>
    <n v="1"/>
  </r>
  <r>
    <x v="0"/>
    <x v="0"/>
    <s v="Fischer, Mr. Eberhard Thelander"/>
    <x v="0"/>
    <n v="18"/>
    <n v="0"/>
    <n v="0"/>
    <n v="7.7957999999999998"/>
    <x v="0"/>
    <s v="Adult"/>
    <s v="Low"/>
    <n v="1"/>
  </r>
  <r>
    <x v="1"/>
    <x v="1"/>
    <s v="Madill, Miss. Georgette Alexandra"/>
    <x v="1"/>
    <n v="15"/>
    <n v="0"/>
    <n v="1"/>
    <n v="211.33750000000001"/>
    <x v="0"/>
    <s v="Child"/>
    <s v="High"/>
    <n v="2"/>
  </r>
  <r>
    <x v="1"/>
    <x v="1"/>
    <s v="Dick, Mr. Albert Adrian"/>
    <x v="0"/>
    <n v="31"/>
    <n v="1"/>
    <n v="0"/>
    <n v="57"/>
    <x v="0"/>
    <s v="Adult"/>
    <s v="High"/>
    <n v="2"/>
  </r>
  <r>
    <x v="1"/>
    <x v="0"/>
    <s v="Karun, Miss. Manca"/>
    <x v="1"/>
    <n v="4"/>
    <n v="0"/>
    <n v="1"/>
    <n v="13.416700000000001"/>
    <x v="1"/>
    <s v="Child"/>
    <s v="Low"/>
    <n v="2"/>
  </r>
  <r>
    <x v="1"/>
    <x v="0"/>
    <s v="Lam, Mr. Ali"/>
    <x v="0"/>
    <m/>
    <n v="0"/>
    <n v="0"/>
    <n v="56.495800000000003"/>
    <x v="0"/>
    <s v="Child"/>
    <s v="High"/>
    <n v="1"/>
  </r>
  <r>
    <x v="0"/>
    <x v="0"/>
    <s v="Saad, Mr. Khalil"/>
    <x v="0"/>
    <n v="25"/>
    <n v="0"/>
    <n v="0"/>
    <n v="7.2249999999999996"/>
    <x v="1"/>
    <s v="Adult"/>
    <s v="Low"/>
    <n v="1"/>
  </r>
  <r>
    <x v="0"/>
    <x v="1"/>
    <s v="Weir, Col. John"/>
    <x v="0"/>
    <n v="60"/>
    <n v="0"/>
    <n v="0"/>
    <n v="26.55"/>
    <x v="0"/>
    <s v="Adult"/>
    <s v="Low"/>
    <n v="1"/>
  </r>
  <r>
    <x v="0"/>
    <x v="2"/>
    <s v="Chapman, Mr. Charles Henry"/>
    <x v="0"/>
    <n v="52"/>
    <n v="0"/>
    <n v="0"/>
    <n v="13.5"/>
    <x v="0"/>
    <s v="Adult"/>
    <s v="Low"/>
    <n v="1"/>
  </r>
  <r>
    <x v="0"/>
    <x v="0"/>
    <s v="Kelly, Mr. James"/>
    <x v="0"/>
    <n v="44"/>
    <n v="0"/>
    <n v="0"/>
    <n v="8.0500000000000007"/>
    <x v="0"/>
    <s v="Adult"/>
    <s v="Low"/>
    <n v="1"/>
  </r>
  <r>
    <x v="1"/>
    <x v="0"/>
    <s v="Mullens, Miss. Katherine &quot;Katie&quot;"/>
    <x v="1"/>
    <m/>
    <n v="0"/>
    <n v="0"/>
    <n v="7.7332999999999998"/>
    <x v="2"/>
    <s v="Child"/>
    <s v="Low"/>
    <n v="1"/>
  </r>
  <r>
    <x v="0"/>
    <x v="1"/>
    <s v="Thayer, Mr. John Borland"/>
    <x v="0"/>
    <n v="49"/>
    <n v="1"/>
    <n v="1"/>
    <n v="110.88330000000001"/>
    <x v="1"/>
    <s v="Adult"/>
    <s v="High"/>
    <n v="3"/>
  </r>
  <r>
    <x v="0"/>
    <x v="0"/>
    <s v="Humblen, Mr. Adolf Mathias Nicolai Olsen"/>
    <x v="0"/>
    <n v="42"/>
    <n v="0"/>
    <n v="0"/>
    <n v="7.65"/>
    <x v="0"/>
    <s v="Adult"/>
    <s v="Low"/>
    <n v="1"/>
  </r>
  <r>
    <x v="1"/>
    <x v="1"/>
    <s v="Astor, Mrs. John Jacob (Madeleine Talmadge Force)"/>
    <x v="1"/>
    <n v="18"/>
    <n v="1"/>
    <n v="0"/>
    <n v="227.52500000000001"/>
    <x v="1"/>
    <s v="Adult"/>
    <s v="High"/>
    <n v="2"/>
  </r>
  <r>
    <x v="1"/>
    <x v="1"/>
    <s v="Silverthorne, Mr. Spencer Victor"/>
    <x v="0"/>
    <n v="35"/>
    <n v="0"/>
    <n v="0"/>
    <n v="26.287500000000001"/>
    <x v="0"/>
    <s v="Adult"/>
    <s v="Low"/>
    <n v="1"/>
  </r>
  <r>
    <x v="0"/>
    <x v="0"/>
    <s v="Barbara, Miss. Saiide"/>
    <x v="1"/>
    <n v="18"/>
    <n v="0"/>
    <n v="1"/>
    <n v="14.4542"/>
    <x v="1"/>
    <s v="Adult"/>
    <s v="Low"/>
    <n v="2"/>
  </r>
  <r>
    <x v="0"/>
    <x v="0"/>
    <s v="Gallagher, Mr. Martin"/>
    <x v="0"/>
    <n v="25"/>
    <n v="0"/>
    <n v="0"/>
    <n v="7.7416999999999998"/>
    <x v="2"/>
    <s v="Adult"/>
    <s v="Low"/>
    <n v="1"/>
  </r>
  <r>
    <x v="0"/>
    <x v="0"/>
    <s v="Hansen, Mr. Henrik Juul"/>
    <x v="0"/>
    <n v="26"/>
    <n v="1"/>
    <n v="0"/>
    <n v="7.8541999999999996"/>
    <x v="0"/>
    <s v="Adult"/>
    <s v="Low"/>
    <n v="2"/>
  </r>
  <r>
    <x v="0"/>
    <x v="2"/>
    <s v="Morley, Mr. Henry Samuel (&quot;Mr Henry Marshall&quot;)"/>
    <x v="0"/>
    <n v="39"/>
    <n v="0"/>
    <n v="0"/>
    <n v="26"/>
    <x v="0"/>
    <s v="Adult"/>
    <s v="Low"/>
    <n v="1"/>
  </r>
  <r>
    <x v="1"/>
    <x v="2"/>
    <s v="Kelly, Mrs. Florence &quot;Fannie&quot;"/>
    <x v="1"/>
    <n v="45"/>
    <n v="0"/>
    <n v="0"/>
    <n v="13.5"/>
    <x v="0"/>
    <s v="Adult"/>
    <s v="Low"/>
    <n v="1"/>
  </r>
  <r>
    <x v="1"/>
    <x v="1"/>
    <s v="Calderhead, Mr. Edward Pennington"/>
    <x v="0"/>
    <n v="42"/>
    <n v="0"/>
    <n v="0"/>
    <n v="26.287500000000001"/>
    <x v="0"/>
    <s v="Adult"/>
    <s v="Low"/>
    <n v="1"/>
  </r>
  <r>
    <x v="1"/>
    <x v="1"/>
    <s v="Cleaver, Miss. Alice"/>
    <x v="1"/>
    <n v="22"/>
    <n v="0"/>
    <n v="0"/>
    <n v="151.55000000000001"/>
    <x v="0"/>
    <s v="Adult"/>
    <s v="High"/>
    <n v="1"/>
  </r>
  <r>
    <x v="1"/>
    <x v="0"/>
    <s v="Moubarek, Master. Halim Gonios (&quot;William George&quot;)"/>
    <x v="0"/>
    <m/>
    <n v="1"/>
    <n v="1"/>
    <n v="15.245799999999999"/>
    <x v="1"/>
    <s v="Child"/>
    <s v="Low"/>
    <n v="3"/>
  </r>
  <r>
    <x v="1"/>
    <x v="1"/>
    <s v="Mayne, Mlle. Berthe Antonine (&quot;Mrs de Villiers&quot;)"/>
    <x v="1"/>
    <n v="24"/>
    <n v="0"/>
    <n v="0"/>
    <n v="49.504199999999997"/>
    <x v="1"/>
    <s v="Adult"/>
    <s v="Low"/>
    <n v="1"/>
  </r>
  <r>
    <x v="0"/>
    <x v="1"/>
    <s v="Klaber, Mr. Herman"/>
    <x v="0"/>
    <m/>
    <n v="0"/>
    <n v="0"/>
    <n v="26.55"/>
    <x v="0"/>
    <s v="Child"/>
    <s v="Low"/>
    <n v="1"/>
  </r>
  <r>
    <x v="1"/>
    <x v="1"/>
    <s v="Taylor, Mr. Elmer Zebley"/>
    <x v="0"/>
    <n v="48"/>
    <n v="1"/>
    <n v="0"/>
    <n v="52"/>
    <x v="0"/>
    <s v="Adult"/>
    <s v="High"/>
    <n v="2"/>
  </r>
  <r>
    <x v="0"/>
    <x v="0"/>
    <s v="Larsson, Mr. August Viktor"/>
    <x v="0"/>
    <n v="29"/>
    <n v="0"/>
    <n v="0"/>
    <n v="9.4832999999999998"/>
    <x v="0"/>
    <s v="Adult"/>
    <s v="Low"/>
    <n v="1"/>
  </r>
  <r>
    <x v="0"/>
    <x v="2"/>
    <s v="Greenberg, Mr. Samuel"/>
    <x v="0"/>
    <n v="52"/>
    <n v="0"/>
    <n v="0"/>
    <n v="13"/>
    <x v="0"/>
    <s v="Adult"/>
    <s v="Low"/>
    <n v="1"/>
  </r>
  <r>
    <x v="0"/>
    <x v="0"/>
    <s v="Soholt, Mr. Peter Andreas Lauritz Andersen"/>
    <x v="0"/>
    <n v="19"/>
    <n v="0"/>
    <n v="0"/>
    <n v="7.65"/>
    <x v="0"/>
    <s v="Adult"/>
    <s v="Low"/>
    <n v="1"/>
  </r>
  <r>
    <x v="1"/>
    <x v="1"/>
    <s v="Endres, Miss. Caroline Louise"/>
    <x v="1"/>
    <n v="38"/>
    <n v="0"/>
    <n v="0"/>
    <n v="227.52500000000001"/>
    <x v="1"/>
    <s v="Adult"/>
    <s v="High"/>
    <n v="1"/>
  </r>
  <r>
    <x v="1"/>
    <x v="2"/>
    <s v="Troutt, Miss. Edwina Celia &quot;Winnie&quot;"/>
    <x v="1"/>
    <n v="27"/>
    <n v="0"/>
    <n v="0"/>
    <n v="10.5"/>
    <x v="0"/>
    <s v="Adult"/>
    <s v="Low"/>
    <n v="1"/>
  </r>
  <r>
    <x v="0"/>
    <x v="0"/>
    <s v="McEvoy, Mr. Michael"/>
    <x v="0"/>
    <m/>
    <n v="0"/>
    <n v="0"/>
    <n v="15.5"/>
    <x v="2"/>
    <s v="Child"/>
    <s v="Low"/>
    <n v="1"/>
  </r>
  <r>
    <x v="0"/>
    <x v="0"/>
    <s v="Johnson, Mr. Malkolm Joackim"/>
    <x v="0"/>
    <n v="33"/>
    <n v="0"/>
    <n v="0"/>
    <n v="7.7750000000000004"/>
    <x v="0"/>
    <s v="Adult"/>
    <s v="Low"/>
    <n v="1"/>
  </r>
  <r>
    <x v="1"/>
    <x v="2"/>
    <s v="Harper, Miss. Annie Jessie &quot;Nina&quot;"/>
    <x v="1"/>
    <n v="6"/>
    <n v="0"/>
    <n v="1"/>
    <n v="33"/>
    <x v="0"/>
    <s v="Child"/>
    <s v="Low"/>
    <n v="2"/>
  </r>
  <r>
    <x v="0"/>
    <x v="0"/>
    <s v="Jensen, Mr. Svend Lauritz"/>
    <x v="0"/>
    <n v="17"/>
    <n v="1"/>
    <n v="0"/>
    <n v="7.0541999999999998"/>
    <x v="0"/>
    <s v="Child"/>
    <s v="Low"/>
    <n v="2"/>
  </r>
  <r>
    <x v="0"/>
    <x v="2"/>
    <s v="Gillespie, Mr. William Henry"/>
    <x v="0"/>
    <n v="34"/>
    <n v="0"/>
    <n v="0"/>
    <n v="13"/>
    <x v="0"/>
    <s v="Adult"/>
    <s v="Low"/>
    <n v="1"/>
  </r>
  <r>
    <x v="0"/>
    <x v="2"/>
    <s v="Hodges, Mr. Henry Price"/>
    <x v="0"/>
    <n v="50"/>
    <n v="0"/>
    <n v="0"/>
    <n v="13"/>
    <x v="0"/>
    <s v="Adult"/>
    <s v="Low"/>
    <n v="1"/>
  </r>
  <r>
    <x v="1"/>
    <x v="1"/>
    <s v="Chambers, Mr. Norman Campbell"/>
    <x v="0"/>
    <n v="27"/>
    <n v="1"/>
    <n v="0"/>
    <n v="53.1"/>
    <x v="0"/>
    <s v="Adult"/>
    <s v="High"/>
    <n v="2"/>
  </r>
  <r>
    <x v="0"/>
    <x v="0"/>
    <s v="Oreskovic, Mr. Luka"/>
    <x v="0"/>
    <n v="20"/>
    <n v="0"/>
    <n v="0"/>
    <n v="8.6624999999999996"/>
    <x v="0"/>
    <s v="Adult"/>
    <s v="Low"/>
    <n v="1"/>
  </r>
  <r>
    <x v="1"/>
    <x v="2"/>
    <s v="Renouf, Mrs. Peter Henry (Lillian Jefferys)"/>
    <x v="1"/>
    <n v="30"/>
    <n v="3"/>
    <n v="0"/>
    <n v="21"/>
    <x v="0"/>
    <s v="Adult"/>
    <s v="Low"/>
    <n v="4"/>
  </r>
  <r>
    <x v="1"/>
    <x v="0"/>
    <s v="Mannion, Miss. Margareth"/>
    <x v="1"/>
    <m/>
    <n v="0"/>
    <n v="0"/>
    <n v="7.7374999999999998"/>
    <x v="2"/>
    <s v="Child"/>
    <s v="Low"/>
    <n v="1"/>
  </r>
  <r>
    <x v="0"/>
    <x v="2"/>
    <s v="Bryhl, Mr. Kurt Arnold Gottfrid"/>
    <x v="0"/>
    <n v="25"/>
    <n v="1"/>
    <n v="0"/>
    <n v="26"/>
    <x v="0"/>
    <s v="Adult"/>
    <s v="Low"/>
    <n v="2"/>
  </r>
  <r>
    <x v="0"/>
    <x v="0"/>
    <s v="Ilmakangas, Miss. Pieta Sofia"/>
    <x v="1"/>
    <n v="25"/>
    <n v="1"/>
    <n v="0"/>
    <n v="7.9249999999999998"/>
    <x v="0"/>
    <s v="Adult"/>
    <s v="Low"/>
    <n v="2"/>
  </r>
  <r>
    <x v="1"/>
    <x v="1"/>
    <s v="Allen, Miss. Elisabeth Walton"/>
    <x v="1"/>
    <n v="29"/>
    <n v="0"/>
    <n v="0"/>
    <n v="211.33750000000001"/>
    <x v="0"/>
    <s v="Adult"/>
    <s v="High"/>
    <n v="1"/>
  </r>
  <r>
    <x v="0"/>
    <x v="0"/>
    <s v="Hassan, Mr. Houssein G N"/>
    <x v="0"/>
    <n v="11"/>
    <n v="0"/>
    <n v="0"/>
    <n v="18.787500000000001"/>
    <x v="1"/>
    <s v="Child"/>
    <s v="Low"/>
    <n v="1"/>
  </r>
  <r>
    <x v="0"/>
    <x v="2"/>
    <s v="Knight, Mr. Robert J"/>
    <x v="0"/>
    <m/>
    <n v="0"/>
    <n v="0"/>
    <n v="0"/>
    <x v="0"/>
    <s v="Child"/>
    <s v="Low"/>
    <n v="1"/>
  </r>
  <r>
    <x v="0"/>
    <x v="2"/>
    <s v="Berriman, Mr. William John"/>
    <x v="0"/>
    <n v="23"/>
    <n v="0"/>
    <n v="0"/>
    <n v="13"/>
    <x v="0"/>
    <s v="Adult"/>
    <s v="Low"/>
    <n v="1"/>
  </r>
  <r>
    <x v="0"/>
    <x v="2"/>
    <s v="Troupiansky, Mr. Moses Aaron"/>
    <x v="0"/>
    <n v="23"/>
    <n v="0"/>
    <n v="0"/>
    <n v="13"/>
    <x v="0"/>
    <s v="Adult"/>
    <s v="Low"/>
    <n v="1"/>
  </r>
  <r>
    <x v="0"/>
    <x v="0"/>
    <s v="Williams, Mr. Leslie"/>
    <x v="0"/>
    <n v="28.5"/>
    <n v="0"/>
    <n v="0"/>
    <n v="16.100000000000001"/>
    <x v="0"/>
    <s v="Adult"/>
    <s v="Low"/>
    <n v="1"/>
  </r>
  <r>
    <x v="0"/>
    <x v="0"/>
    <s v="Ford, Mrs. Edward (Margaret Ann Watson)"/>
    <x v="1"/>
    <n v="48"/>
    <n v="1"/>
    <n v="3"/>
    <n v="34.375"/>
    <x v="0"/>
    <s v="Adult"/>
    <s v="Low"/>
    <n v="5"/>
  </r>
  <r>
    <x v="1"/>
    <x v="1"/>
    <s v="Lesurer, Mr. Gustave J"/>
    <x v="0"/>
    <n v="35"/>
    <n v="0"/>
    <n v="0"/>
    <n v="512.32920000000001"/>
    <x v="1"/>
    <s v="Adult"/>
    <s v="High"/>
    <n v="1"/>
  </r>
  <r>
    <x v="0"/>
    <x v="0"/>
    <s v="Ivanoff, Mr. Kanio"/>
    <x v="0"/>
    <m/>
    <n v="0"/>
    <n v="0"/>
    <n v="7.8958000000000004"/>
    <x v="0"/>
    <s v="Child"/>
    <s v="Low"/>
    <n v="1"/>
  </r>
  <r>
    <x v="0"/>
    <x v="0"/>
    <s v="Nankoff, Mr. Minko"/>
    <x v="0"/>
    <m/>
    <n v="0"/>
    <n v="0"/>
    <n v="7.8958000000000004"/>
    <x v="0"/>
    <s v="Child"/>
    <s v="Low"/>
    <n v="1"/>
  </r>
  <r>
    <x v="1"/>
    <x v="1"/>
    <s v="Hawksford, Mr. Walter James"/>
    <x v="0"/>
    <m/>
    <n v="0"/>
    <n v="0"/>
    <n v="30"/>
    <x v="0"/>
    <s v="Child"/>
    <s v="Low"/>
    <n v="1"/>
  </r>
  <r>
    <x v="0"/>
    <x v="1"/>
    <s v="Cavendish, Mr. Tyrell William"/>
    <x v="0"/>
    <n v="36"/>
    <n v="1"/>
    <n v="0"/>
    <n v="78.849999999999994"/>
    <x v="0"/>
    <s v="Adult"/>
    <s v="High"/>
    <n v="2"/>
  </r>
  <r>
    <x v="1"/>
    <x v="1"/>
    <s v="Ryerson, Miss. Susan Parker &quot;Suzette&quot;"/>
    <x v="1"/>
    <n v="21"/>
    <n v="2"/>
    <n v="2"/>
    <n v="262.375"/>
    <x v="1"/>
    <s v="Adult"/>
    <s v="High"/>
    <n v="5"/>
  </r>
  <r>
    <x v="0"/>
    <x v="0"/>
    <s v="McNamee, Mr. Neal"/>
    <x v="0"/>
    <n v="24"/>
    <n v="1"/>
    <n v="0"/>
    <n v="16.100000000000001"/>
    <x v="0"/>
    <s v="Adult"/>
    <s v="Low"/>
    <n v="2"/>
  </r>
  <r>
    <x v="1"/>
    <x v="0"/>
    <s v="Stranden, Mr. Juho"/>
    <x v="0"/>
    <n v="31"/>
    <n v="0"/>
    <n v="0"/>
    <n v="7.9249999999999998"/>
    <x v="0"/>
    <s v="Adult"/>
    <s v="Low"/>
    <n v="1"/>
  </r>
  <r>
    <x v="0"/>
    <x v="1"/>
    <s v="Crosby, Capt. Edward Gifford"/>
    <x v="0"/>
    <n v="70"/>
    <n v="1"/>
    <n v="1"/>
    <n v="71"/>
    <x v="0"/>
    <s v="Adult"/>
    <s v="High"/>
    <n v="3"/>
  </r>
  <r>
    <x v="0"/>
    <x v="0"/>
    <s v="Abbott, Mr. Rossmore Edward"/>
    <x v="0"/>
    <n v="16"/>
    <n v="1"/>
    <n v="1"/>
    <n v="20.25"/>
    <x v="0"/>
    <s v="Child"/>
    <s v="Low"/>
    <n v="3"/>
  </r>
  <r>
    <x v="1"/>
    <x v="2"/>
    <s v="Sinkkonen, Miss. Anna"/>
    <x v="1"/>
    <n v="30"/>
    <n v="0"/>
    <n v="0"/>
    <n v="13"/>
    <x v="0"/>
    <s v="Adult"/>
    <s v="Low"/>
    <n v="1"/>
  </r>
  <r>
    <x v="0"/>
    <x v="1"/>
    <s v="Marvin, Mr. Daniel Warner"/>
    <x v="0"/>
    <n v="19"/>
    <n v="1"/>
    <n v="0"/>
    <n v="53.1"/>
    <x v="0"/>
    <s v="Adult"/>
    <s v="High"/>
    <n v="2"/>
  </r>
  <r>
    <x v="0"/>
    <x v="0"/>
    <s v="Connaghton, Mr. Michael"/>
    <x v="0"/>
    <n v="31"/>
    <n v="0"/>
    <n v="0"/>
    <n v="7.75"/>
    <x v="2"/>
    <s v="Adult"/>
    <s v="Low"/>
    <n v="1"/>
  </r>
  <r>
    <x v="1"/>
    <x v="2"/>
    <s v="Wells, Miss. Joan"/>
    <x v="1"/>
    <n v="4"/>
    <n v="1"/>
    <n v="1"/>
    <n v="23"/>
    <x v="0"/>
    <s v="Child"/>
    <s v="Low"/>
    <n v="3"/>
  </r>
  <r>
    <x v="1"/>
    <x v="0"/>
    <s v="Moor, Master. Meier"/>
    <x v="0"/>
    <n v="6"/>
    <n v="0"/>
    <n v="1"/>
    <n v="12.475"/>
    <x v="0"/>
    <s v="Child"/>
    <s v="Low"/>
    <n v="2"/>
  </r>
  <r>
    <x v="0"/>
    <x v="0"/>
    <s v="Vande Velde, Mr. Johannes Joseph"/>
    <x v="0"/>
    <n v="33"/>
    <n v="0"/>
    <n v="0"/>
    <n v="9.5"/>
    <x v="0"/>
    <s v="Adult"/>
    <s v="Low"/>
    <n v="1"/>
  </r>
  <r>
    <x v="0"/>
    <x v="0"/>
    <s v="Jonkoff, Mr. Lalio"/>
    <x v="0"/>
    <n v="23"/>
    <n v="0"/>
    <n v="0"/>
    <n v="7.8958000000000004"/>
    <x v="0"/>
    <s v="Adult"/>
    <s v="Low"/>
    <n v="1"/>
  </r>
  <r>
    <x v="1"/>
    <x v="2"/>
    <s v="Herman, Mrs. Samuel (Jane Laver)"/>
    <x v="1"/>
    <n v="48"/>
    <n v="1"/>
    <n v="2"/>
    <n v="65"/>
    <x v="0"/>
    <s v="Adult"/>
    <s v="High"/>
    <n v="4"/>
  </r>
  <r>
    <x v="1"/>
    <x v="2"/>
    <s v="Hamalainen, Master. Viljo"/>
    <x v="0"/>
    <n v="0.67"/>
    <n v="1"/>
    <n v="1"/>
    <n v="14.5"/>
    <x v="0"/>
    <s v="Child"/>
    <s v="Low"/>
    <n v="3"/>
  </r>
  <r>
    <x v="0"/>
    <x v="0"/>
    <s v="Carlsson, Mr. August Sigfrid"/>
    <x v="0"/>
    <n v="28"/>
    <n v="0"/>
    <n v="0"/>
    <n v="7.7957999999999998"/>
    <x v="0"/>
    <s v="Adult"/>
    <s v="Low"/>
    <n v="1"/>
  </r>
  <r>
    <x v="0"/>
    <x v="2"/>
    <s v="Bailey, Mr. Percy Andrew"/>
    <x v="0"/>
    <n v="18"/>
    <n v="0"/>
    <n v="0"/>
    <n v="11.5"/>
    <x v="0"/>
    <s v="Adult"/>
    <s v="Low"/>
    <n v="1"/>
  </r>
  <r>
    <x v="0"/>
    <x v="0"/>
    <s v="Theobald, Mr. Thomas Leonard"/>
    <x v="0"/>
    <n v="34"/>
    <n v="0"/>
    <n v="0"/>
    <n v="8.0500000000000007"/>
    <x v="0"/>
    <s v="Adult"/>
    <s v="Low"/>
    <n v="1"/>
  </r>
  <r>
    <x v="1"/>
    <x v="1"/>
    <s v="Rothes, the Countess. of (Lucy Noel Martha Dyer-Edwards)"/>
    <x v="1"/>
    <n v="33"/>
    <n v="0"/>
    <n v="0"/>
    <n v="86.5"/>
    <x v="0"/>
    <s v="Adult"/>
    <s v="High"/>
    <n v="1"/>
  </r>
  <r>
    <x v="0"/>
    <x v="0"/>
    <s v="Garfirth, Mr. John"/>
    <x v="0"/>
    <m/>
    <n v="0"/>
    <n v="0"/>
    <n v="14.5"/>
    <x v="0"/>
    <s v="Child"/>
    <s v="Low"/>
    <n v="1"/>
  </r>
  <r>
    <x v="0"/>
    <x v="0"/>
    <s v="Nirva, Mr. Iisakki Antino Aijo"/>
    <x v="0"/>
    <n v="41"/>
    <n v="0"/>
    <n v="0"/>
    <n v="7.125"/>
    <x v="0"/>
    <s v="Adult"/>
    <s v="Low"/>
    <n v="1"/>
  </r>
  <r>
    <x v="1"/>
    <x v="0"/>
    <s v="Barah, Mr. Hanna Assi"/>
    <x v="0"/>
    <n v="20"/>
    <n v="0"/>
    <n v="0"/>
    <n v="7.2291999999999996"/>
    <x v="1"/>
    <s v="Adult"/>
    <s v="Low"/>
    <n v="1"/>
  </r>
  <r>
    <x v="1"/>
    <x v="1"/>
    <s v="Carter, Mrs. William Ernest (Lucile Polk)"/>
    <x v="1"/>
    <n v="36"/>
    <n v="1"/>
    <n v="2"/>
    <n v="120"/>
    <x v="0"/>
    <s v="Adult"/>
    <s v="High"/>
    <n v="4"/>
  </r>
  <r>
    <x v="0"/>
    <x v="0"/>
    <s v="Eklund, Mr. Hans Linus"/>
    <x v="0"/>
    <n v="16"/>
    <n v="0"/>
    <n v="0"/>
    <n v="7.7750000000000004"/>
    <x v="0"/>
    <s v="Child"/>
    <s v="Low"/>
    <n v="1"/>
  </r>
  <r>
    <x v="1"/>
    <x v="1"/>
    <s v="Hogeboom, Mrs. John C (Anna Andrews)"/>
    <x v="1"/>
    <n v="51"/>
    <n v="1"/>
    <n v="0"/>
    <n v="77.958299999999994"/>
    <x v="0"/>
    <s v="Adult"/>
    <s v="High"/>
    <n v="2"/>
  </r>
  <r>
    <x v="0"/>
    <x v="1"/>
    <s v="Brewe, Dr. Arthur Jackson"/>
    <x v="0"/>
    <m/>
    <n v="0"/>
    <n v="0"/>
    <n v="39.6"/>
    <x v="1"/>
    <s v="Child"/>
    <s v="Low"/>
    <n v="1"/>
  </r>
  <r>
    <x v="0"/>
    <x v="0"/>
    <s v="Mangan, Miss. Mary"/>
    <x v="1"/>
    <n v="30.5"/>
    <n v="0"/>
    <n v="0"/>
    <n v="7.75"/>
    <x v="2"/>
    <s v="Adult"/>
    <s v="Low"/>
    <n v="1"/>
  </r>
  <r>
    <x v="0"/>
    <x v="0"/>
    <s v="Moran, Mr. Daniel J"/>
    <x v="0"/>
    <m/>
    <n v="1"/>
    <n v="0"/>
    <n v="24.15"/>
    <x v="2"/>
    <s v="Child"/>
    <s v="Low"/>
    <n v="2"/>
  </r>
  <r>
    <x v="0"/>
    <x v="0"/>
    <s v="Gronnestad, Mr. Daniel Danielsen"/>
    <x v="0"/>
    <n v="32"/>
    <n v="0"/>
    <n v="0"/>
    <n v="8.3625000000000007"/>
    <x v="0"/>
    <s v="Adult"/>
    <s v="Low"/>
    <n v="1"/>
  </r>
  <r>
    <x v="0"/>
    <x v="0"/>
    <s v="Lievens, Mr. Rene Aime"/>
    <x v="0"/>
    <n v="24"/>
    <n v="0"/>
    <n v="0"/>
    <n v="9.5"/>
    <x v="0"/>
    <s v="Adult"/>
    <s v="Low"/>
    <n v="1"/>
  </r>
  <r>
    <x v="0"/>
    <x v="0"/>
    <s v="Jensen, Mr. Niels Peder"/>
    <x v="0"/>
    <n v="48"/>
    <n v="0"/>
    <n v="0"/>
    <n v="7.8541999999999996"/>
    <x v="0"/>
    <s v="Adult"/>
    <s v="Low"/>
    <n v="1"/>
  </r>
  <r>
    <x v="0"/>
    <x v="2"/>
    <s v="Mack, Mrs. (Mary)"/>
    <x v="1"/>
    <n v="57"/>
    <n v="0"/>
    <n v="0"/>
    <n v="10.5"/>
    <x v="0"/>
    <s v="Adult"/>
    <s v="Low"/>
    <n v="1"/>
  </r>
  <r>
    <x v="0"/>
    <x v="0"/>
    <s v="Elias, Mr. Dibo"/>
    <x v="0"/>
    <m/>
    <n v="0"/>
    <n v="0"/>
    <n v="7.2249999999999996"/>
    <x v="1"/>
    <s v="Child"/>
    <s v="Low"/>
    <n v="1"/>
  </r>
  <r>
    <x v="1"/>
    <x v="2"/>
    <s v="Hocking, Mrs. Elizabeth (Eliza Needs)"/>
    <x v="1"/>
    <n v="54"/>
    <n v="1"/>
    <n v="3"/>
    <n v="23"/>
    <x v="0"/>
    <s v="Adult"/>
    <s v="Low"/>
    <n v="5"/>
  </r>
  <r>
    <x v="0"/>
    <x v="0"/>
    <s v="Myhrman, Mr. Pehr Fabian Oliver Malkolm"/>
    <x v="0"/>
    <n v="18"/>
    <n v="0"/>
    <n v="0"/>
    <n v="7.75"/>
    <x v="0"/>
    <s v="Adult"/>
    <s v="Low"/>
    <n v="1"/>
  </r>
  <r>
    <x v="0"/>
    <x v="0"/>
    <s v="Tobin, Mr. Roger"/>
    <x v="0"/>
    <m/>
    <n v="0"/>
    <n v="0"/>
    <n v="7.75"/>
    <x v="2"/>
    <s v="Child"/>
    <s v="Low"/>
    <n v="1"/>
  </r>
  <r>
    <x v="1"/>
    <x v="0"/>
    <s v="Emanuel, Miss. Virginia Ethel"/>
    <x v="1"/>
    <n v="5"/>
    <n v="0"/>
    <n v="0"/>
    <n v="12.475"/>
    <x v="0"/>
    <s v="Child"/>
    <s v="Low"/>
    <n v="1"/>
  </r>
  <r>
    <x v="0"/>
    <x v="0"/>
    <s v="Kilgannon, Mr. Thomas J"/>
    <x v="0"/>
    <m/>
    <n v="0"/>
    <n v="0"/>
    <n v="7.7374999999999998"/>
    <x v="2"/>
    <s v="Child"/>
    <s v="Low"/>
    <n v="1"/>
  </r>
  <r>
    <x v="1"/>
    <x v="1"/>
    <s v="Robert, Mrs. Edward Scott (Elisabeth Walton McMillan)"/>
    <x v="1"/>
    <n v="43"/>
    <n v="0"/>
    <n v="1"/>
    <n v="211.33750000000001"/>
    <x v="0"/>
    <s v="Adult"/>
    <s v="High"/>
    <n v="2"/>
  </r>
  <r>
    <x v="1"/>
    <x v="0"/>
    <s v="Ayoub, Miss. Banoura"/>
    <x v="1"/>
    <n v="13"/>
    <n v="0"/>
    <n v="0"/>
    <n v="7.2291999999999996"/>
    <x v="1"/>
    <s v="Child"/>
    <s v="Low"/>
    <n v="1"/>
  </r>
  <r>
    <x v="1"/>
    <x v="1"/>
    <s v="Dick, Mrs. Albert Adrian (Vera Gillespie)"/>
    <x v="1"/>
    <n v="17"/>
    <n v="1"/>
    <n v="0"/>
    <n v="57"/>
    <x v="0"/>
    <s v="Child"/>
    <s v="High"/>
    <n v="2"/>
  </r>
  <r>
    <x v="0"/>
    <x v="1"/>
    <s v="Long, Mr. Milton Clyde"/>
    <x v="0"/>
    <n v="29"/>
    <n v="0"/>
    <n v="0"/>
    <n v="30"/>
    <x v="0"/>
    <s v="Adult"/>
    <s v="Low"/>
    <n v="1"/>
  </r>
  <r>
    <x v="0"/>
    <x v="0"/>
    <s v="Johnston, Mr. Andrew G"/>
    <x v="0"/>
    <m/>
    <n v="1"/>
    <n v="2"/>
    <n v="23.45"/>
    <x v="0"/>
    <s v="Child"/>
    <s v="Low"/>
    <n v="4"/>
  </r>
  <r>
    <x v="0"/>
    <x v="0"/>
    <s v="Ali, Mr. William"/>
    <x v="0"/>
    <n v="25"/>
    <n v="0"/>
    <n v="0"/>
    <n v="7.05"/>
    <x v="0"/>
    <s v="Adult"/>
    <s v="Low"/>
    <n v="1"/>
  </r>
  <r>
    <x v="0"/>
    <x v="0"/>
    <s v="Harmer, Mr. Abraham (David Lishin)"/>
    <x v="0"/>
    <n v="25"/>
    <n v="0"/>
    <n v="0"/>
    <n v="7.25"/>
    <x v="0"/>
    <s v="Adult"/>
    <s v="Low"/>
    <n v="1"/>
  </r>
  <r>
    <x v="1"/>
    <x v="0"/>
    <s v="Sjoblom, Miss. Anna Sofia"/>
    <x v="1"/>
    <n v="18"/>
    <n v="0"/>
    <n v="0"/>
    <n v="7.4958"/>
    <x v="0"/>
    <s v="Adult"/>
    <s v="Low"/>
    <n v="1"/>
  </r>
  <r>
    <x v="0"/>
    <x v="0"/>
    <s v="Rice, Master. George Hugh"/>
    <x v="0"/>
    <n v="8"/>
    <n v="4"/>
    <n v="1"/>
    <n v="29.125"/>
    <x v="2"/>
    <s v="Child"/>
    <s v="Low"/>
    <n v="6"/>
  </r>
  <r>
    <x v="1"/>
    <x v="0"/>
    <s v="Dean, Master. Bertram Vere"/>
    <x v="0"/>
    <n v="1"/>
    <n v="1"/>
    <n v="2"/>
    <n v="20.574999999999999"/>
    <x v="0"/>
    <s v="Child"/>
    <s v="Low"/>
    <n v="4"/>
  </r>
  <r>
    <x v="0"/>
    <x v="1"/>
    <s v="Guggenheim, Mr. Benjamin"/>
    <x v="0"/>
    <n v="46"/>
    <n v="0"/>
    <n v="0"/>
    <n v="79.2"/>
    <x v="1"/>
    <s v="Adult"/>
    <s v="High"/>
    <n v="1"/>
  </r>
  <r>
    <x v="0"/>
    <x v="0"/>
    <s v="Keane, Mr. Andrew &quot;Andy&quot;"/>
    <x v="0"/>
    <m/>
    <n v="0"/>
    <n v="0"/>
    <n v="7.75"/>
    <x v="2"/>
    <s v="Child"/>
    <s v="Low"/>
    <n v="1"/>
  </r>
  <r>
    <x v="0"/>
    <x v="2"/>
    <s v="Gaskell, Mr. Alfred"/>
    <x v="0"/>
    <n v="16"/>
    <n v="0"/>
    <n v="0"/>
    <n v="26"/>
    <x v="0"/>
    <s v="Child"/>
    <s v="Low"/>
    <n v="1"/>
  </r>
  <r>
    <x v="0"/>
    <x v="0"/>
    <s v="Sage, Miss. Stella Anna"/>
    <x v="1"/>
    <m/>
    <n v="8"/>
    <n v="2"/>
    <n v="69.55"/>
    <x v="0"/>
    <s v="Child"/>
    <s v="High"/>
    <n v="11"/>
  </r>
  <r>
    <x v="0"/>
    <x v="1"/>
    <s v="Hoyt, Mr. William Fisher"/>
    <x v="0"/>
    <m/>
    <n v="0"/>
    <n v="0"/>
    <n v="30.695799999999998"/>
    <x v="1"/>
    <s v="Child"/>
    <s v="Low"/>
    <n v="1"/>
  </r>
  <r>
    <x v="0"/>
    <x v="0"/>
    <s v="Dantcheff, Mr. Ristiu"/>
    <x v="0"/>
    <n v="25"/>
    <n v="0"/>
    <n v="0"/>
    <n v="7.8958000000000004"/>
    <x v="0"/>
    <s v="Adult"/>
    <s v="Low"/>
    <n v="1"/>
  </r>
  <r>
    <x v="0"/>
    <x v="2"/>
    <s v="Otter, Mr. Richard"/>
    <x v="0"/>
    <n v="39"/>
    <n v="0"/>
    <n v="0"/>
    <n v="13"/>
    <x v="0"/>
    <s v="Adult"/>
    <s v="Low"/>
    <n v="1"/>
  </r>
  <r>
    <x v="1"/>
    <x v="1"/>
    <s v="Leader, Dr. Alice (Farnham)"/>
    <x v="1"/>
    <n v="49"/>
    <n v="0"/>
    <n v="0"/>
    <n v="25.929200000000002"/>
    <x v="0"/>
    <s v="Adult"/>
    <s v="Low"/>
    <n v="1"/>
  </r>
  <r>
    <x v="1"/>
    <x v="0"/>
    <s v="Osman, Mrs. Mara"/>
    <x v="1"/>
    <n v="31"/>
    <n v="0"/>
    <n v="0"/>
    <n v="8.6832999999999991"/>
    <x v="0"/>
    <s v="Adult"/>
    <s v="Low"/>
    <n v="1"/>
  </r>
  <r>
    <x v="0"/>
    <x v="0"/>
    <s v="Ibrahim Shawah, Mr. Yousseff"/>
    <x v="0"/>
    <n v="30"/>
    <n v="0"/>
    <n v="0"/>
    <n v="7.2291999999999996"/>
    <x v="1"/>
    <s v="Adult"/>
    <s v="Low"/>
    <n v="1"/>
  </r>
  <r>
    <x v="0"/>
    <x v="0"/>
    <s v="Van Impe, Mrs. Jean Baptiste (Rosalie Paula Govaert)"/>
    <x v="1"/>
    <n v="30"/>
    <n v="1"/>
    <n v="1"/>
    <n v="24.15"/>
    <x v="0"/>
    <s v="Adult"/>
    <s v="Low"/>
    <n v="3"/>
  </r>
  <r>
    <x v="0"/>
    <x v="2"/>
    <s v="Ponesell, Mr. Martin"/>
    <x v="0"/>
    <n v="34"/>
    <n v="0"/>
    <n v="0"/>
    <n v="13"/>
    <x v="0"/>
    <s v="Adult"/>
    <s v="Low"/>
    <n v="1"/>
  </r>
  <r>
    <x v="1"/>
    <x v="2"/>
    <s v="Collyer, Mrs. Harvey (Charlotte Annie Tate)"/>
    <x v="1"/>
    <n v="31"/>
    <n v="1"/>
    <n v="1"/>
    <n v="26.25"/>
    <x v="0"/>
    <s v="Adult"/>
    <s v="Low"/>
    <n v="3"/>
  </r>
  <r>
    <x v="1"/>
    <x v="1"/>
    <s v="Carter, Master. William Thornton II"/>
    <x v="0"/>
    <n v="11"/>
    <n v="1"/>
    <n v="2"/>
    <n v="120"/>
    <x v="0"/>
    <s v="Child"/>
    <s v="High"/>
    <n v="4"/>
  </r>
  <r>
    <x v="1"/>
    <x v="0"/>
    <s v="Thomas, Master. Assad Alexander"/>
    <x v="0"/>
    <n v="0.42"/>
    <n v="0"/>
    <n v="1"/>
    <n v="8.5167000000000002"/>
    <x v="1"/>
    <s v="Child"/>
    <s v="Low"/>
    <n v="2"/>
  </r>
  <r>
    <x v="1"/>
    <x v="0"/>
    <s v="Hedman, Mr. Oskar Arvid"/>
    <x v="0"/>
    <n v="27"/>
    <n v="0"/>
    <n v="0"/>
    <n v="6.9749999999999996"/>
    <x v="0"/>
    <s v="Adult"/>
    <s v="Low"/>
    <n v="1"/>
  </r>
  <r>
    <x v="0"/>
    <x v="0"/>
    <s v="Johansson, Mr. Karl Johan"/>
    <x v="0"/>
    <n v="31"/>
    <n v="0"/>
    <n v="0"/>
    <n v="7.7750000000000004"/>
    <x v="0"/>
    <s v="Adult"/>
    <s v="Low"/>
    <n v="1"/>
  </r>
  <r>
    <x v="0"/>
    <x v="1"/>
    <s v="Andrews, Mr. Thomas Jr"/>
    <x v="0"/>
    <n v="39"/>
    <n v="0"/>
    <n v="0"/>
    <n v="0"/>
    <x v="0"/>
    <s v="Adult"/>
    <s v="Low"/>
    <n v="1"/>
  </r>
  <r>
    <x v="0"/>
    <x v="0"/>
    <s v="Pettersson, Miss. Ellen Natalia"/>
    <x v="1"/>
    <n v="18"/>
    <n v="0"/>
    <n v="0"/>
    <n v="7.7750000000000004"/>
    <x v="0"/>
    <s v="Adult"/>
    <s v="Low"/>
    <n v="1"/>
  </r>
  <r>
    <x v="0"/>
    <x v="2"/>
    <s v="Meyer, Mr. August"/>
    <x v="0"/>
    <n v="39"/>
    <n v="0"/>
    <n v="0"/>
    <n v="13"/>
    <x v="0"/>
    <s v="Adult"/>
    <s v="Low"/>
    <n v="1"/>
  </r>
  <r>
    <x v="1"/>
    <x v="1"/>
    <s v="Chambers, Mrs. Norman Campbell (Bertha Griggs)"/>
    <x v="1"/>
    <n v="33"/>
    <n v="1"/>
    <n v="0"/>
    <n v="53.1"/>
    <x v="0"/>
    <s v="Adult"/>
    <s v="High"/>
    <n v="2"/>
  </r>
  <r>
    <x v="0"/>
    <x v="0"/>
    <s v="Alexander, Mr. William"/>
    <x v="0"/>
    <n v="26"/>
    <n v="0"/>
    <n v="0"/>
    <n v="7.8875000000000002"/>
    <x v="0"/>
    <s v="Adult"/>
    <s v="Low"/>
    <n v="1"/>
  </r>
  <r>
    <x v="0"/>
    <x v="0"/>
    <s v="Lester, Mr. James"/>
    <x v="0"/>
    <n v="39"/>
    <n v="0"/>
    <n v="0"/>
    <n v="24.15"/>
    <x v="0"/>
    <s v="Adult"/>
    <s v="Low"/>
    <n v="1"/>
  </r>
  <r>
    <x v="0"/>
    <x v="2"/>
    <s v="Slemen, Mr. Richard James"/>
    <x v="0"/>
    <n v="35"/>
    <n v="0"/>
    <n v="0"/>
    <n v="10.5"/>
    <x v="0"/>
    <s v="Adult"/>
    <s v="Low"/>
    <n v="1"/>
  </r>
  <r>
    <x v="0"/>
    <x v="0"/>
    <s v="Andersson, Miss. Ebba Iris Alfrida"/>
    <x v="1"/>
    <n v="6"/>
    <n v="4"/>
    <n v="2"/>
    <n v="31.274999999999999"/>
    <x v="0"/>
    <s v="Child"/>
    <s v="Low"/>
    <n v="7"/>
  </r>
  <r>
    <x v="0"/>
    <x v="0"/>
    <s v="Tomlin, Mr. Ernest Portage"/>
    <x v="0"/>
    <n v="30.5"/>
    <n v="0"/>
    <n v="0"/>
    <n v="8.0500000000000007"/>
    <x v="0"/>
    <s v="Adult"/>
    <s v="Low"/>
    <n v="1"/>
  </r>
  <r>
    <x v="0"/>
    <x v="1"/>
    <s v="Fry, Mr. Richard"/>
    <x v="0"/>
    <m/>
    <n v="0"/>
    <n v="0"/>
    <n v="0"/>
    <x v="0"/>
    <s v="Child"/>
    <s v="Low"/>
    <n v="1"/>
  </r>
  <r>
    <x v="0"/>
    <x v="0"/>
    <s v="Heininen, Miss. Wendla Maria"/>
    <x v="1"/>
    <n v="23"/>
    <n v="0"/>
    <n v="0"/>
    <n v="7.9249999999999998"/>
    <x v="0"/>
    <s v="Adult"/>
    <s v="Low"/>
    <n v="1"/>
  </r>
  <r>
    <x v="0"/>
    <x v="2"/>
    <s v="Mallet, Mr. Albert"/>
    <x v="0"/>
    <n v="31"/>
    <n v="1"/>
    <n v="1"/>
    <n v="37.004199999999997"/>
    <x v="1"/>
    <s v="Adult"/>
    <s v="Low"/>
    <n v="3"/>
  </r>
  <r>
    <x v="0"/>
    <x v="0"/>
    <s v="Holm, Mr. John Fredrik Alexander"/>
    <x v="0"/>
    <n v="43"/>
    <n v="0"/>
    <n v="0"/>
    <n v="6.45"/>
    <x v="0"/>
    <s v="Adult"/>
    <s v="Low"/>
    <n v="1"/>
  </r>
  <r>
    <x v="0"/>
    <x v="0"/>
    <s v="Skoog, Master. Karl Thorsten"/>
    <x v="0"/>
    <n v="10"/>
    <n v="3"/>
    <n v="2"/>
    <n v="27.9"/>
    <x v="0"/>
    <s v="Child"/>
    <s v="Low"/>
    <n v="6"/>
  </r>
  <r>
    <x v="1"/>
    <x v="1"/>
    <s v="Hays, Mrs. Charles Melville (Clara Jennings Gregg)"/>
    <x v="1"/>
    <n v="52"/>
    <n v="1"/>
    <n v="1"/>
    <n v="93.5"/>
    <x v="0"/>
    <s v="Adult"/>
    <s v="High"/>
    <n v="3"/>
  </r>
  <r>
    <x v="1"/>
    <x v="0"/>
    <s v="Lulic, Mr. Nikola"/>
    <x v="0"/>
    <n v="27"/>
    <n v="0"/>
    <n v="0"/>
    <n v="8.6624999999999996"/>
    <x v="0"/>
    <s v="Adult"/>
    <s v="Low"/>
    <n v="1"/>
  </r>
  <r>
    <x v="0"/>
    <x v="1"/>
    <s v="Reuchlin, Jonkheer. John George"/>
    <x v="0"/>
    <n v="38"/>
    <n v="0"/>
    <n v="0"/>
    <n v="0"/>
    <x v="0"/>
    <s v="Adult"/>
    <s v="Low"/>
    <n v="1"/>
  </r>
  <r>
    <x v="1"/>
    <x v="0"/>
    <s v="Moor, Mrs. (Beila)"/>
    <x v="1"/>
    <n v="27"/>
    <n v="0"/>
    <n v="1"/>
    <n v="12.475"/>
    <x v="0"/>
    <s v="Adult"/>
    <s v="Low"/>
    <n v="2"/>
  </r>
  <r>
    <x v="0"/>
    <x v="0"/>
    <s v="Panula, Master. Urho Abraham"/>
    <x v="0"/>
    <n v="2"/>
    <n v="4"/>
    <n v="1"/>
    <n v="39.6875"/>
    <x v="0"/>
    <s v="Child"/>
    <s v="Low"/>
    <n v="6"/>
  </r>
  <r>
    <x v="0"/>
    <x v="0"/>
    <s v="Flynn, Mr. John"/>
    <x v="0"/>
    <m/>
    <n v="0"/>
    <n v="0"/>
    <n v="6.95"/>
    <x v="2"/>
    <s v="Child"/>
    <s v="Low"/>
    <n v="1"/>
  </r>
  <r>
    <x v="0"/>
    <x v="0"/>
    <s v="Lam, Mr. Len"/>
    <x v="0"/>
    <m/>
    <n v="0"/>
    <n v="0"/>
    <n v="56.495800000000003"/>
    <x v="0"/>
    <s v="Child"/>
    <s v="High"/>
    <n v="1"/>
  </r>
  <r>
    <x v="1"/>
    <x v="2"/>
    <s v="Mallet, Master. Andre"/>
    <x v="0"/>
    <n v="1"/>
    <n v="0"/>
    <n v="2"/>
    <n v="37.004199999999997"/>
    <x v="1"/>
    <s v="Child"/>
    <s v="Low"/>
    <n v="3"/>
  </r>
  <r>
    <x v="1"/>
    <x v="0"/>
    <s v="McCormack, Mr. Thomas Joseph"/>
    <x v="0"/>
    <m/>
    <n v="0"/>
    <n v="0"/>
    <n v="7.75"/>
    <x v="2"/>
    <s v="Child"/>
    <s v="Low"/>
    <n v="1"/>
  </r>
  <r>
    <x v="1"/>
    <x v="1"/>
    <s v="Stone, Mrs. George Nelson (Martha Evelyn)"/>
    <x v="1"/>
    <n v="62"/>
    <n v="0"/>
    <n v="0"/>
    <n v="80"/>
    <x v="3"/>
    <s v="Adult"/>
    <s v="High"/>
    <n v="1"/>
  </r>
  <r>
    <x v="1"/>
    <x v="0"/>
    <s v="Yasbeck, Mrs. Antoni (Selini Alexander)"/>
    <x v="1"/>
    <n v="15"/>
    <n v="1"/>
    <n v="0"/>
    <n v="14.4542"/>
    <x v="1"/>
    <s v="Child"/>
    <s v="Low"/>
    <n v="2"/>
  </r>
  <r>
    <x v="1"/>
    <x v="2"/>
    <s v="Richards, Master. George Sibley"/>
    <x v="0"/>
    <n v="0.83"/>
    <n v="1"/>
    <n v="1"/>
    <n v="18.75"/>
    <x v="0"/>
    <s v="Child"/>
    <s v="Low"/>
    <n v="3"/>
  </r>
  <r>
    <x v="0"/>
    <x v="0"/>
    <s v="Saad, Mr. Amin"/>
    <x v="0"/>
    <m/>
    <n v="0"/>
    <n v="0"/>
    <n v="7.2291999999999996"/>
    <x v="1"/>
    <s v="Child"/>
    <s v="Low"/>
    <n v="1"/>
  </r>
  <r>
    <x v="0"/>
    <x v="0"/>
    <s v="Augustsson, Mr. Albert"/>
    <x v="0"/>
    <n v="23"/>
    <n v="0"/>
    <n v="0"/>
    <n v="7.8541999999999996"/>
    <x v="0"/>
    <s v="Adult"/>
    <s v="Low"/>
    <n v="1"/>
  </r>
  <r>
    <x v="0"/>
    <x v="0"/>
    <s v="Allum, Mr. Owen George"/>
    <x v="0"/>
    <n v="18"/>
    <n v="0"/>
    <n v="0"/>
    <n v="8.3000000000000007"/>
    <x v="0"/>
    <s v="Adult"/>
    <s v="Low"/>
    <n v="1"/>
  </r>
  <r>
    <x v="1"/>
    <x v="1"/>
    <s v="Compton, Miss. Sara Rebecca"/>
    <x v="1"/>
    <n v="39"/>
    <n v="1"/>
    <n v="1"/>
    <n v="83.158299999999997"/>
    <x v="1"/>
    <s v="Adult"/>
    <s v="High"/>
    <n v="3"/>
  </r>
  <r>
    <x v="0"/>
    <x v="0"/>
    <s v="Pasic, Mr. Jakob"/>
    <x v="0"/>
    <n v="21"/>
    <n v="0"/>
    <n v="0"/>
    <n v="8.6624999999999996"/>
    <x v="0"/>
    <s v="Adult"/>
    <s v="Low"/>
    <n v="1"/>
  </r>
  <r>
    <x v="0"/>
    <x v="0"/>
    <s v="Sirota, Mr. Maurice"/>
    <x v="0"/>
    <m/>
    <n v="0"/>
    <n v="0"/>
    <n v="8.0500000000000007"/>
    <x v="0"/>
    <s v="Child"/>
    <s v="Low"/>
    <n v="1"/>
  </r>
  <r>
    <x v="1"/>
    <x v="0"/>
    <s v="Chip, Mr. Chang"/>
    <x v="0"/>
    <n v="32"/>
    <n v="0"/>
    <n v="0"/>
    <n v="56.495800000000003"/>
    <x v="0"/>
    <s v="Adult"/>
    <s v="High"/>
    <n v="1"/>
  </r>
  <r>
    <x v="1"/>
    <x v="1"/>
    <s v="Marechal, Mr. Pierre"/>
    <x v="0"/>
    <m/>
    <n v="0"/>
    <n v="0"/>
    <n v="29.7"/>
    <x v="1"/>
    <s v="Child"/>
    <s v="Low"/>
    <n v="1"/>
  </r>
  <r>
    <x v="0"/>
    <x v="0"/>
    <s v="Alhomaki, Mr. Ilmari Rudolf"/>
    <x v="0"/>
    <n v="20"/>
    <n v="0"/>
    <n v="0"/>
    <n v="7.9249999999999998"/>
    <x v="0"/>
    <s v="Adult"/>
    <s v="Low"/>
    <n v="1"/>
  </r>
  <r>
    <x v="0"/>
    <x v="2"/>
    <s v="Mudd, Mr. Thomas Charles"/>
    <x v="0"/>
    <n v="16"/>
    <n v="0"/>
    <n v="0"/>
    <n v="10.5"/>
    <x v="0"/>
    <s v="Child"/>
    <s v="Low"/>
    <n v="1"/>
  </r>
  <r>
    <x v="1"/>
    <x v="1"/>
    <s v="Serepeca, Miss. Augusta"/>
    <x v="1"/>
    <n v="30"/>
    <n v="0"/>
    <n v="0"/>
    <n v="31"/>
    <x v="1"/>
    <s v="Adult"/>
    <s v="Low"/>
    <n v="1"/>
  </r>
  <r>
    <x v="0"/>
    <x v="0"/>
    <s v="Lemberopolous, Mr. Peter L"/>
    <x v="0"/>
    <n v="34.5"/>
    <n v="0"/>
    <n v="0"/>
    <n v="6.4375"/>
    <x v="1"/>
    <s v="Adult"/>
    <s v="Low"/>
    <n v="1"/>
  </r>
  <r>
    <x v="0"/>
    <x v="0"/>
    <s v="Culumovic, Mr. Jeso"/>
    <x v="0"/>
    <n v="17"/>
    <n v="0"/>
    <n v="0"/>
    <n v="8.6624999999999996"/>
    <x v="0"/>
    <s v="Child"/>
    <s v="Low"/>
    <n v="1"/>
  </r>
  <r>
    <x v="0"/>
    <x v="0"/>
    <s v="Abbing, Mr. Anthony"/>
    <x v="0"/>
    <n v="42"/>
    <n v="0"/>
    <n v="0"/>
    <n v="7.55"/>
    <x v="0"/>
    <s v="Adult"/>
    <s v="Low"/>
    <n v="1"/>
  </r>
  <r>
    <x v="0"/>
    <x v="0"/>
    <s v="Sage, Mr. Douglas Bullen"/>
    <x v="0"/>
    <m/>
    <n v="8"/>
    <n v="2"/>
    <n v="69.55"/>
    <x v="0"/>
    <s v="Child"/>
    <s v="High"/>
    <n v="11"/>
  </r>
  <r>
    <x v="0"/>
    <x v="0"/>
    <s v="Markoff, Mr. Marin"/>
    <x v="0"/>
    <n v="35"/>
    <n v="0"/>
    <n v="0"/>
    <n v="7.8958000000000004"/>
    <x v="1"/>
    <s v="Adult"/>
    <s v="Low"/>
    <n v="1"/>
  </r>
  <r>
    <x v="0"/>
    <x v="2"/>
    <s v="Harper, Rev. John"/>
    <x v="0"/>
    <n v="28"/>
    <n v="0"/>
    <n v="1"/>
    <n v="33"/>
    <x v="0"/>
    <s v="Adult"/>
    <s v="Low"/>
    <n v="2"/>
  </r>
  <r>
    <x v="1"/>
    <x v="1"/>
    <s v="Goldenberg, Mrs. Samuel L (Edwiga Grabowska)"/>
    <x v="1"/>
    <m/>
    <n v="1"/>
    <n v="0"/>
    <n v="89.104200000000006"/>
    <x v="1"/>
    <s v="Child"/>
    <s v="High"/>
    <n v="2"/>
  </r>
  <r>
    <x v="0"/>
    <x v="0"/>
    <s v="Andersson, Master. Sigvard Harald Elias"/>
    <x v="0"/>
    <n v="4"/>
    <n v="4"/>
    <n v="2"/>
    <n v="31.274999999999999"/>
    <x v="0"/>
    <s v="Child"/>
    <s v="Low"/>
    <n v="7"/>
  </r>
  <r>
    <x v="0"/>
    <x v="0"/>
    <s v="Svensson, Mr. Johan"/>
    <x v="0"/>
    <n v="74"/>
    <n v="0"/>
    <n v="0"/>
    <n v="7.7750000000000004"/>
    <x v="0"/>
    <s v="Adult"/>
    <s v="Low"/>
    <n v="1"/>
  </r>
  <r>
    <x v="0"/>
    <x v="0"/>
    <s v="Boulos, Miss. Nourelain"/>
    <x v="1"/>
    <n v="9"/>
    <n v="1"/>
    <n v="1"/>
    <n v="15.245799999999999"/>
    <x v="1"/>
    <s v="Child"/>
    <s v="Low"/>
    <n v="3"/>
  </r>
  <r>
    <x v="1"/>
    <x v="1"/>
    <s v="Lines, Miss. Mary Conover"/>
    <x v="1"/>
    <n v="16"/>
    <n v="0"/>
    <n v="1"/>
    <n v="39.4"/>
    <x v="0"/>
    <s v="Child"/>
    <s v="Low"/>
    <n v="2"/>
  </r>
  <r>
    <x v="0"/>
    <x v="2"/>
    <s v="Carter, Mrs. Ernest Courtenay (Lilian Hughes)"/>
    <x v="1"/>
    <n v="44"/>
    <n v="1"/>
    <n v="0"/>
    <n v="26"/>
    <x v="0"/>
    <s v="Adult"/>
    <s v="Low"/>
    <n v="2"/>
  </r>
  <r>
    <x v="1"/>
    <x v="0"/>
    <s v="Aks, Mrs. Sam (Leah Rosen)"/>
    <x v="1"/>
    <n v="18"/>
    <n v="0"/>
    <n v="1"/>
    <n v="9.35"/>
    <x v="0"/>
    <s v="Adult"/>
    <s v="Low"/>
    <n v="2"/>
  </r>
  <r>
    <x v="1"/>
    <x v="1"/>
    <s v="Wick, Mrs. George Dennick (Mary Hitchcock)"/>
    <x v="1"/>
    <n v="45"/>
    <n v="1"/>
    <n v="1"/>
    <n v="164.86670000000001"/>
    <x v="0"/>
    <s v="Adult"/>
    <s v="High"/>
    <n v="3"/>
  </r>
  <r>
    <x v="1"/>
    <x v="1"/>
    <s v="Daly, Mr. Peter Denis "/>
    <x v="0"/>
    <n v="51"/>
    <n v="0"/>
    <n v="0"/>
    <n v="26.55"/>
    <x v="0"/>
    <s v="Adult"/>
    <s v="Low"/>
    <n v="1"/>
  </r>
  <r>
    <x v="1"/>
    <x v="0"/>
    <s v="Baclini, Mrs. Solomon (Latifa Qurban)"/>
    <x v="1"/>
    <n v="24"/>
    <n v="0"/>
    <n v="3"/>
    <n v="19.258299999999998"/>
    <x v="1"/>
    <s v="Adult"/>
    <s v="Low"/>
    <n v="4"/>
  </r>
  <r>
    <x v="0"/>
    <x v="0"/>
    <s v="Razi, Mr. Raihed"/>
    <x v="0"/>
    <m/>
    <n v="0"/>
    <n v="0"/>
    <n v="7.2291999999999996"/>
    <x v="1"/>
    <s v="Child"/>
    <s v="Low"/>
    <n v="1"/>
  </r>
  <r>
    <x v="0"/>
    <x v="0"/>
    <s v="Hansen, Mr. Claus Peter"/>
    <x v="0"/>
    <n v="41"/>
    <n v="2"/>
    <n v="0"/>
    <n v="14.1083"/>
    <x v="0"/>
    <s v="Adult"/>
    <s v="Low"/>
    <n v="3"/>
  </r>
  <r>
    <x v="0"/>
    <x v="2"/>
    <s v="Giles, Mr. Frederick Edward"/>
    <x v="0"/>
    <n v="21"/>
    <n v="1"/>
    <n v="0"/>
    <n v="11.5"/>
    <x v="0"/>
    <s v="Adult"/>
    <s v="Low"/>
    <n v="2"/>
  </r>
  <r>
    <x v="1"/>
    <x v="1"/>
    <s v="Swift, Mrs. Frederick Joel (Margaret Welles Barron)"/>
    <x v="1"/>
    <n v="48"/>
    <n v="0"/>
    <n v="0"/>
    <n v="25.929200000000002"/>
    <x v="0"/>
    <s v="Adult"/>
    <s v="Low"/>
    <n v="1"/>
  </r>
  <r>
    <x v="0"/>
    <x v="0"/>
    <s v="Sage, Miss. Dorothy Edith &quot;Dolly&quot;"/>
    <x v="1"/>
    <m/>
    <n v="8"/>
    <n v="2"/>
    <n v="69.55"/>
    <x v="0"/>
    <s v="Child"/>
    <s v="High"/>
    <n v="11"/>
  </r>
  <r>
    <x v="0"/>
    <x v="2"/>
    <s v="Gill, Mr. John William"/>
    <x v="0"/>
    <n v="24"/>
    <n v="0"/>
    <n v="0"/>
    <n v="13"/>
    <x v="0"/>
    <s v="Adult"/>
    <s v="Low"/>
    <n v="1"/>
  </r>
  <r>
    <x v="1"/>
    <x v="2"/>
    <s v="Bystrom, Mrs. (Karolina)"/>
    <x v="1"/>
    <n v="42"/>
    <n v="0"/>
    <n v="0"/>
    <n v="13"/>
    <x v="0"/>
    <s v="Adult"/>
    <s v="Low"/>
    <n v="1"/>
  </r>
  <r>
    <x v="1"/>
    <x v="2"/>
    <s v="Duran y More, Miss. Asuncion"/>
    <x v="1"/>
    <n v="27"/>
    <n v="1"/>
    <n v="0"/>
    <n v="13.8583"/>
    <x v="1"/>
    <s v="Adult"/>
    <s v="Low"/>
    <n v="2"/>
  </r>
  <r>
    <x v="0"/>
    <x v="1"/>
    <s v="Roebling, Mr. Washington Augustus II"/>
    <x v="0"/>
    <n v="31"/>
    <n v="0"/>
    <n v="0"/>
    <n v="50.495800000000003"/>
    <x v="0"/>
    <s v="Adult"/>
    <s v="High"/>
    <n v="1"/>
  </r>
  <r>
    <x v="0"/>
    <x v="0"/>
    <s v="van Melkebeke, Mr. Philemon"/>
    <x v="0"/>
    <m/>
    <n v="0"/>
    <n v="0"/>
    <n v="9.5"/>
    <x v="0"/>
    <s v="Child"/>
    <s v="Low"/>
    <n v="1"/>
  </r>
  <r>
    <x v="1"/>
    <x v="0"/>
    <s v="Johnson, Master. Harold Theodor"/>
    <x v="0"/>
    <n v="4"/>
    <n v="1"/>
    <n v="1"/>
    <n v="11.1333"/>
    <x v="0"/>
    <s v="Child"/>
    <s v="Low"/>
    <n v="3"/>
  </r>
  <r>
    <x v="0"/>
    <x v="0"/>
    <s v="Balkic, Mr. Cerin"/>
    <x v="0"/>
    <n v="26"/>
    <n v="0"/>
    <n v="0"/>
    <n v="7.8958000000000004"/>
    <x v="0"/>
    <s v="Adult"/>
    <s v="Low"/>
    <n v="1"/>
  </r>
  <r>
    <x v="1"/>
    <x v="1"/>
    <s v="Beckwith, Mrs. Richard Leonard (Sallie Monypeny)"/>
    <x v="1"/>
    <n v="47"/>
    <n v="1"/>
    <n v="1"/>
    <n v="52.554200000000002"/>
    <x v="0"/>
    <s v="Adult"/>
    <s v="High"/>
    <n v="3"/>
  </r>
  <r>
    <x v="0"/>
    <x v="1"/>
    <s v="Carlsson, Mr. Frans Olof"/>
    <x v="0"/>
    <n v="33"/>
    <n v="0"/>
    <n v="0"/>
    <n v="5"/>
    <x v="0"/>
    <s v="Adult"/>
    <s v="Low"/>
    <n v="1"/>
  </r>
  <r>
    <x v="0"/>
    <x v="0"/>
    <s v="Vander Cruyssen, Mr. Victor"/>
    <x v="0"/>
    <n v="47"/>
    <n v="0"/>
    <n v="0"/>
    <n v="9"/>
    <x v="0"/>
    <s v="Adult"/>
    <s v="Low"/>
    <n v="1"/>
  </r>
  <r>
    <x v="1"/>
    <x v="2"/>
    <s v="Abelson, Mrs. Samuel (Hannah Wizosky)"/>
    <x v="1"/>
    <n v="28"/>
    <n v="1"/>
    <n v="0"/>
    <n v="24"/>
    <x v="1"/>
    <s v="Adult"/>
    <s v="Low"/>
    <n v="2"/>
  </r>
  <r>
    <x v="1"/>
    <x v="0"/>
    <s v="Najib, Miss. Adele Kiamie &quot;Jane&quot;"/>
    <x v="1"/>
    <n v="15"/>
    <n v="0"/>
    <n v="0"/>
    <n v="7.2249999999999996"/>
    <x v="1"/>
    <s v="Child"/>
    <s v="Low"/>
    <n v="1"/>
  </r>
  <r>
    <x v="0"/>
    <x v="0"/>
    <s v="Gustafsson, Mr. Alfred Ossian"/>
    <x v="0"/>
    <n v="20"/>
    <n v="0"/>
    <n v="0"/>
    <n v="9.8458000000000006"/>
    <x v="0"/>
    <s v="Adult"/>
    <s v="Low"/>
    <n v="1"/>
  </r>
  <r>
    <x v="0"/>
    <x v="0"/>
    <s v="Petroff, Mr. Nedelio"/>
    <x v="0"/>
    <n v="19"/>
    <n v="0"/>
    <n v="0"/>
    <n v="7.8958000000000004"/>
    <x v="0"/>
    <s v="Adult"/>
    <s v="Low"/>
    <n v="1"/>
  </r>
  <r>
    <x v="0"/>
    <x v="0"/>
    <s v="Laleff, Mr. Kristo"/>
    <x v="0"/>
    <m/>
    <n v="0"/>
    <n v="0"/>
    <n v="7.8958000000000004"/>
    <x v="0"/>
    <s v="Child"/>
    <s v="Low"/>
    <n v="1"/>
  </r>
  <r>
    <x v="1"/>
    <x v="1"/>
    <s v="Potter, Mrs. Thomas Jr (Lily Alexenia Wilson)"/>
    <x v="1"/>
    <n v="56"/>
    <n v="0"/>
    <n v="1"/>
    <n v="83.158299999999997"/>
    <x v="1"/>
    <s v="Adult"/>
    <s v="High"/>
    <n v="2"/>
  </r>
  <r>
    <x v="1"/>
    <x v="2"/>
    <s v="Shelley, Mrs. William (Imanita Parrish Hall)"/>
    <x v="1"/>
    <n v="25"/>
    <n v="0"/>
    <n v="1"/>
    <n v="26"/>
    <x v="0"/>
    <s v="Adult"/>
    <s v="Low"/>
    <n v="2"/>
  </r>
  <r>
    <x v="0"/>
    <x v="0"/>
    <s v="Markun, Mr. Johann"/>
    <x v="0"/>
    <n v="33"/>
    <n v="0"/>
    <n v="0"/>
    <n v="7.8958000000000004"/>
    <x v="0"/>
    <s v="Adult"/>
    <s v="Low"/>
    <n v="1"/>
  </r>
  <r>
    <x v="0"/>
    <x v="0"/>
    <s v="Dahlberg, Miss. Gerda Ulrika"/>
    <x v="1"/>
    <n v="22"/>
    <n v="0"/>
    <n v="0"/>
    <n v="10.5167"/>
    <x v="0"/>
    <s v="Adult"/>
    <s v="Low"/>
    <n v="1"/>
  </r>
  <r>
    <x v="0"/>
    <x v="2"/>
    <s v="Banfield, Mr. Frederick James"/>
    <x v="0"/>
    <n v="28"/>
    <n v="0"/>
    <n v="0"/>
    <n v="10.5"/>
    <x v="0"/>
    <s v="Adult"/>
    <s v="Low"/>
    <n v="1"/>
  </r>
  <r>
    <x v="0"/>
    <x v="0"/>
    <s v="Sutehall, Mr. Henry Jr"/>
    <x v="0"/>
    <n v="25"/>
    <n v="0"/>
    <n v="0"/>
    <n v="7.05"/>
    <x v="0"/>
    <s v="Adult"/>
    <s v="Low"/>
    <n v="1"/>
  </r>
  <r>
    <x v="0"/>
    <x v="0"/>
    <s v="Rice, Mrs. William (Margaret Norton)"/>
    <x v="1"/>
    <n v="39"/>
    <n v="0"/>
    <n v="5"/>
    <n v="29.125"/>
    <x v="2"/>
    <s v="Adult"/>
    <s v="Low"/>
    <n v="6"/>
  </r>
  <r>
    <x v="0"/>
    <x v="2"/>
    <s v="Montvila, Rev. Juozas"/>
    <x v="0"/>
    <n v="27"/>
    <n v="0"/>
    <n v="0"/>
    <n v="13"/>
    <x v="0"/>
    <s v="Adult"/>
    <s v="Low"/>
    <n v="1"/>
  </r>
  <r>
    <x v="1"/>
    <x v="1"/>
    <s v="Graham, Miss. Margaret Edith"/>
    <x v="1"/>
    <n v="19"/>
    <n v="0"/>
    <n v="0"/>
    <n v="30"/>
    <x v="0"/>
    <s v="Adult"/>
    <s v="Low"/>
    <n v="1"/>
  </r>
  <r>
    <x v="0"/>
    <x v="0"/>
    <s v="Johnston, Miss. Catherine Helen &quot;Carrie&quot;"/>
    <x v="1"/>
    <m/>
    <n v="1"/>
    <n v="2"/>
    <n v="23.45"/>
    <x v="0"/>
    <s v="Child"/>
    <s v="Low"/>
    <n v="4"/>
  </r>
  <r>
    <x v="1"/>
    <x v="1"/>
    <s v="Behr, Mr. Karl Howell"/>
    <x v="0"/>
    <n v="26"/>
    <n v="0"/>
    <n v="0"/>
    <n v="30"/>
    <x v="1"/>
    <s v="Adult"/>
    <s v="Low"/>
    <n v="1"/>
  </r>
  <r>
    <x v="0"/>
    <x v="0"/>
    <s v="Dooley, Mr. Patrick"/>
    <x v="0"/>
    <n v="32"/>
    <n v="0"/>
    <n v="0"/>
    <n v="7.75"/>
    <x v="2"/>
    <s v="Adult"/>
    <s v="Low"/>
    <n v="1"/>
  </r>
  <r>
    <x v="2"/>
    <x v="3"/>
    <m/>
    <x v="2"/>
    <m/>
    <m/>
    <m/>
    <m/>
    <x v="3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27F6ED-9FD1-45CB-A91F-2D13BFCD7E3D}" name="PivotTable1" cacheId="1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D5" firstHeaderRow="1" firstDataRow="2" firstDataCol="1"/>
  <pivotFields count="12">
    <pivotField dataField="1" compact="0" outline="0" showAll="0"/>
    <pivotField compact="0" outline="0" showAll="0"/>
    <pivotField compact="0" outline="0" showAll="0"/>
    <pivotField axis="axisCol" compact="0" outline="0" showAll="0">
      <items count="4">
        <item x="1"/>
        <item x="0"/>
        <item h="1"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Items count="1">
    <i/>
  </rowItems>
  <colFields count="1">
    <field x="3"/>
  </colFields>
  <colItems count="3">
    <i>
      <x/>
    </i>
    <i>
      <x v="1"/>
    </i>
    <i t="grand">
      <x/>
    </i>
  </colItems>
  <dataFields count="1">
    <dataField name="Sum of Survived" fld="0" baseField="0" baseItem="0"/>
  </dataFields>
  <chartFormats count="6">
    <chartFormat chart="0" format="0" series="1">
      <pivotArea type="data" outline="0" fieldPosition="0">
        <references count="1"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28D8F-1917-4BDA-B103-CE7B9BD21459}" name="PivotTable2" cacheId="1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E5" firstHeaderRow="1" firstDataRow="2" firstDataCol="1"/>
  <pivotFields count="12">
    <pivotField compact="0" outline="0" showAll="0"/>
    <pivotField axis="axisCol" compact="0" outline="0" showAll="0">
      <items count="5">
        <item x="1"/>
        <item x="2"/>
        <item x="0"/>
        <item h="1"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Items count="1">
    <i/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Count of Fare" fld="7" subtotal="count" baseField="0" baseItem="0"/>
  </dataFields>
  <chartFormats count="4">
    <chartFormat chart="0" format="24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5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5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25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5A21CD-A456-4768-B613-38D45233F2C8}" name="PivotTable4" cacheId="1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6" firstHeaderRow="1" firstDataRow="1" firstDataCol="1"/>
  <pivotFields count="12">
    <pivotField dataField="1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1"/>
        <item x="2"/>
        <item x="0"/>
        <item h="1" x="3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Survived" fld="0" subtotal="average" baseField="0" baseItem="0"/>
  </dataFields>
  <chartFormats count="8"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356A24-35A3-4617-8DDD-BFEFF9527F58}" name="PivotTable2" cacheId="19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B6" firstHeaderRow="1" firstDataRow="1" firstDataCol="1"/>
  <pivotFields count="9">
    <pivotField compact="0" outline="0" showAll="0"/>
    <pivotField axis="axisRow" compact="0" outline="0" showAll="0">
      <items count="5">
        <item x="1"/>
        <item x="2"/>
        <item x="0"/>
        <item h="1"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Fare" fld="7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D070DC-F640-47D5-B6D7-8C3F2C98C933}" name="PivotTable3" cacheId="19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E8" firstHeaderRow="1" firstDataRow="2" firstDataCol="1"/>
  <pivotFields count="9">
    <pivotField dataField="1" compact="0" outline="0" showAll="0"/>
    <pivotField compact="0" outline="0" showAll="0"/>
    <pivotField compact="0" outline="0" showAll="0"/>
    <pivotField axis="axisCol"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1"/>
        <item x="2"/>
        <item x="0"/>
        <item x="3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Sum of Survived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088BB6-BF8F-4952-A084-3F04ADBDD461}" name="PivotTable1" cacheId="19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B5" firstHeaderRow="1" firstDataRow="1" firstDataCol="1"/>
  <pivotFields count="9">
    <pivotField dataField="1" compact="0" outline="0" showAll="0"/>
    <pivotField compact="0" outline="0" showAll="0"/>
    <pivotField compact="0" outline="0" showAll="0"/>
    <pivotField axis="axisRow" compact="0" outline="0" showAll="0">
      <items count="4">
        <item x="1"/>
        <item x="0"/>
        <item h="1"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Average of Survived" fld="0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B8E40-A8B6-4FC7-A50A-EBFF4CF154CC}">
  <sheetPr>
    <tabColor theme="7" tint="0.79998168889431442"/>
  </sheetPr>
  <dimension ref="A1:P892"/>
  <sheetViews>
    <sheetView workbookViewId="0">
      <selection activeCell="B2" sqref="B2"/>
    </sheetView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6">
      <c r="A2">
        <v>0</v>
      </c>
      <c r="B2">
        <v>3</v>
      </c>
      <c r="C2" t="s">
        <v>12</v>
      </c>
      <c r="D2" t="s">
        <v>13</v>
      </c>
      <c r="E2">
        <v>22</v>
      </c>
      <c r="F2">
        <v>1</v>
      </c>
      <c r="G2">
        <v>0</v>
      </c>
      <c r="H2">
        <v>7.25</v>
      </c>
      <c r="I2" t="s">
        <v>14</v>
      </c>
      <c r="J2" t="str">
        <f>IF(E2&lt;18,"Child","Adult")</f>
        <v>Adult</v>
      </c>
      <c r="K2" t="str">
        <f>IF(H2&gt;50,"High","Low")</f>
        <v>Low</v>
      </c>
      <c r="L2">
        <f>F2+G2+1</f>
        <v>2</v>
      </c>
      <c r="N2" s="10" t="s">
        <v>15</v>
      </c>
      <c r="O2" s="9"/>
      <c r="P2" s="8"/>
    </row>
    <row r="3" spans="1:16">
      <c r="A3">
        <v>1</v>
      </c>
      <c r="B3">
        <v>1</v>
      </c>
      <c r="C3" t="s">
        <v>16</v>
      </c>
      <c r="D3" t="s">
        <v>17</v>
      </c>
      <c r="E3">
        <v>38</v>
      </c>
      <c r="F3">
        <v>1</v>
      </c>
      <c r="G3">
        <v>0</v>
      </c>
      <c r="H3">
        <v>71.283299999999997</v>
      </c>
      <c r="I3" t="s">
        <v>18</v>
      </c>
      <c r="J3" t="str">
        <f t="shared" ref="J3:J66" si="0">IF(E3&lt;18,"Child","Adult")</f>
        <v>Adult</v>
      </c>
      <c r="K3" t="str">
        <f t="shared" ref="K3:K66" si="1">IF(H3&gt;50,"High","Low")</f>
        <v>High</v>
      </c>
      <c r="L3">
        <f t="shared" ref="L3:L66" si="2">F3+G3+1</f>
        <v>2</v>
      </c>
      <c r="N3" s="2" t="s">
        <v>19</v>
      </c>
      <c r="O3" s="3"/>
      <c r="P3" s="5">
        <f>COUNTIFS(D:D,"female",A:A,1)</f>
        <v>233</v>
      </c>
    </row>
    <row r="4" spans="1:16">
      <c r="A4">
        <v>1</v>
      </c>
      <c r="B4">
        <v>3</v>
      </c>
      <c r="C4" t="s">
        <v>20</v>
      </c>
      <c r="D4" t="s">
        <v>17</v>
      </c>
      <c r="E4">
        <v>26</v>
      </c>
      <c r="F4">
        <v>0</v>
      </c>
      <c r="G4">
        <v>0</v>
      </c>
      <c r="H4">
        <v>7.9249999999999998</v>
      </c>
      <c r="I4" t="s">
        <v>14</v>
      </c>
      <c r="J4" t="str">
        <f t="shared" si="0"/>
        <v>Adult</v>
      </c>
      <c r="K4" t="str">
        <f t="shared" si="1"/>
        <v>Low</v>
      </c>
      <c r="L4">
        <f t="shared" si="2"/>
        <v>1</v>
      </c>
      <c r="N4" s="4" t="s">
        <v>21</v>
      </c>
      <c r="O4" s="5"/>
      <c r="P4" s="5">
        <f>COUNTIFS(D:D,"male",A:A,1)</f>
        <v>109</v>
      </c>
    </row>
    <row r="5" spans="1:16">
      <c r="A5">
        <v>1</v>
      </c>
      <c r="B5">
        <v>1</v>
      </c>
      <c r="C5" t="s">
        <v>22</v>
      </c>
      <c r="D5" t="s">
        <v>17</v>
      </c>
      <c r="E5">
        <v>35</v>
      </c>
      <c r="F5">
        <v>1</v>
      </c>
      <c r="G5">
        <v>0</v>
      </c>
      <c r="H5">
        <v>53.1</v>
      </c>
      <c r="I5" t="s">
        <v>14</v>
      </c>
      <c r="J5" t="str">
        <f t="shared" si="0"/>
        <v>Adult</v>
      </c>
      <c r="K5" t="str">
        <f t="shared" si="1"/>
        <v>High</v>
      </c>
      <c r="L5">
        <f t="shared" si="2"/>
        <v>2</v>
      </c>
      <c r="N5" s="6" t="s">
        <v>23</v>
      </c>
      <c r="O5" s="7"/>
      <c r="P5" s="7">
        <f>SUMIFS(H:H,B:B,1)</f>
        <v>18177.412499999984</v>
      </c>
    </row>
    <row r="6" spans="1:16">
      <c r="A6">
        <v>0</v>
      </c>
      <c r="B6">
        <v>3</v>
      </c>
      <c r="C6" t="s">
        <v>24</v>
      </c>
      <c r="D6" t="s">
        <v>13</v>
      </c>
      <c r="E6">
        <v>35</v>
      </c>
      <c r="F6">
        <v>0</v>
      </c>
      <c r="G6">
        <v>0</v>
      </c>
      <c r="H6">
        <v>8.0500000000000007</v>
      </c>
      <c r="I6" t="s">
        <v>14</v>
      </c>
      <c r="J6" t="str">
        <f t="shared" si="0"/>
        <v>Adult</v>
      </c>
      <c r="K6" t="str">
        <f t="shared" si="1"/>
        <v>Low</v>
      </c>
      <c r="L6">
        <f t="shared" si="2"/>
        <v>1</v>
      </c>
    </row>
    <row r="7" spans="1:16">
      <c r="A7">
        <v>0</v>
      </c>
      <c r="B7">
        <v>3</v>
      </c>
      <c r="C7" t="s">
        <v>25</v>
      </c>
      <c r="D7" t="s">
        <v>13</v>
      </c>
      <c r="F7">
        <v>0</v>
      </c>
      <c r="G7">
        <v>0</v>
      </c>
      <c r="H7">
        <v>8.4582999999999995</v>
      </c>
      <c r="I7" t="s">
        <v>26</v>
      </c>
      <c r="J7" t="str">
        <f t="shared" si="0"/>
        <v>Child</v>
      </c>
      <c r="K7" t="str">
        <f t="shared" si="1"/>
        <v>Low</v>
      </c>
      <c r="L7">
        <f t="shared" si="2"/>
        <v>1</v>
      </c>
    </row>
    <row r="8" spans="1:16">
      <c r="A8">
        <v>0</v>
      </c>
      <c r="B8">
        <v>1</v>
      </c>
      <c r="C8" t="s">
        <v>27</v>
      </c>
      <c r="D8" t="s">
        <v>13</v>
      </c>
      <c r="E8">
        <v>54</v>
      </c>
      <c r="F8">
        <v>0</v>
      </c>
      <c r="G8">
        <v>0</v>
      </c>
      <c r="H8">
        <v>51.862499999999997</v>
      </c>
      <c r="I8" t="s">
        <v>14</v>
      </c>
      <c r="J8" t="str">
        <f t="shared" si="0"/>
        <v>Adult</v>
      </c>
      <c r="K8" t="str">
        <f t="shared" si="1"/>
        <v>High</v>
      </c>
      <c r="L8">
        <f t="shared" si="2"/>
        <v>1</v>
      </c>
    </row>
    <row r="9" spans="1:16">
      <c r="A9">
        <v>0</v>
      </c>
      <c r="B9">
        <v>3</v>
      </c>
      <c r="C9" t="s">
        <v>28</v>
      </c>
      <c r="D9" t="s">
        <v>13</v>
      </c>
      <c r="E9">
        <v>2</v>
      </c>
      <c r="F9">
        <v>3</v>
      </c>
      <c r="G9">
        <v>1</v>
      </c>
      <c r="H9">
        <v>21.074999999999999</v>
      </c>
      <c r="I9" t="s">
        <v>14</v>
      </c>
      <c r="J9" t="str">
        <f t="shared" si="0"/>
        <v>Child</v>
      </c>
      <c r="K9" t="str">
        <f t="shared" si="1"/>
        <v>Low</v>
      </c>
      <c r="L9">
        <f t="shared" si="2"/>
        <v>5</v>
      </c>
    </row>
    <row r="10" spans="1:16">
      <c r="A10">
        <v>1</v>
      </c>
      <c r="B10">
        <v>3</v>
      </c>
      <c r="C10" t="s">
        <v>29</v>
      </c>
      <c r="D10" t="s">
        <v>17</v>
      </c>
      <c r="E10">
        <v>27</v>
      </c>
      <c r="F10">
        <v>0</v>
      </c>
      <c r="G10">
        <v>2</v>
      </c>
      <c r="H10">
        <v>11.1333</v>
      </c>
      <c r="I10" t="s">
        <v>14</v>
      </c>
      <c r="J10" t="str">
        <f t="shared" si="0"/>
        <v>Adult</v>
      </c>
      <c r="K10" t="str">
        <f t="shared" si="1"/>
        <v>Low</v>
      </c>
      <c r="L10">
        <f t="shared" si="2"/>
        <v>3</v>
      </c>
    </row>
    <row r="11" spans="1:16">
      <c r="A11">
        <v>1</v>
      </c>
      <c r="B11">
        <v>2</v>
      </c>
      <c r="C11" t="s">
        <v>30</v>
      </c>
      <c r="D11" t="s">
        <v>17</v>
      </c>
      <c r="E11">
        <v>14</v>
      </c>
      <c r="F11">
        <v>1</v>
      </c>
      <c r="G11">
        <v>0</v>
      </c>
      <c r="H11">
        <v>30.070799999999998</v>
      </c>
      <c r="I11" t="s">
        <v>18</v>
      </c>
      <c r="J11" t="str">
        <f t="shared" si="0"/>
        <v>Child</v>
      </c>
      <c r="K11" t="str">
        <f t="shared" si="1"/>
        <v>Low</v>
      </c>
      <c r="L11">
        <f t="shared" si="2"/>
        <v>2</v>
      </c>
    </row>
    <row r="12" spans="1:16">
      <c r="A12">
        <v>1</v>
      </c>
      <c r="B12">
        <v>3</v>
      </c>
      <c r="C12" t="s">
        <v>31</v>
      </c>
      <c r="D12" t="s">
        <v>17</v>
      </c>
      <c r="E12">
        <v>4</v>
      </c>
      <c r="F12">
        <v>1</v>
      </c>
      <c r="G12">
        <v>1</v>
      </c>
      <c r="H12">
        <v>16.7</v>
      </c>
      <c r="I12" t="s">
        <v>14</v>
      </c>
      <c r="J12" t="str">
        <f t="shared" si="0"/>
        <v>Child</v>
      </c>
      <c r="K12" t="str">
        <f t="shared" si="1"/>
        <v>Low</v>
      </c>
      <c r="L12">
        <f t="shared" si="2"/>
        <v>3</v>
      </c>
    </row>
    <row r="13" spans="1:16">
      <c r="A13">
        <v>1</v>
      </c>
      <c r="B13">
        <v>1</v>
      </c>
      <c r="C13" t="s">
        <v>32</v>
      </c>
      <c r="D13" t="s">
        <v>17</v>
      </c>
      <c r="E13">
        <v>58</v>
      </c>
      <c r="F13">
        <v>0</v>
      </c>
      <c r="G13">
        <v>0</v>
      </c>
      <c r="H13">
        <v>26.55</v>
      </c>
      <c r="I13" t="s">
        <v>14</v>
      </c>
      <c r="J13" t="str">
        <f t="shared" si="0"/>
        <v>Adult</v>
      </c>
      <c r="K13" t="str">
        <f t="shared" si="1"/>
        <v>Low</v>
      </c>
      <c r="L13">
        <f t="shared" si="2"/>
        <v>1</v>
      </c>
    </row>
    <row r="14" spans="1:16">
      <c r="A14">
        <v>0</v>
      </c>
      <c r="B14">
        <v>3</v>
      </c>
      <c r="C14" t="s">
        <v>33</v>
      </c>
      <c r="D14" t="s">
        <v>13</v>
      </c>
      <c r="E14">
        <v>20</v>
      </c>
      <c r="F14">
        <v>0</v>
      </c>
      <c r="G14">
        <v>0</v>
      </c>
      <c r="H14">
        <v>8.0500000000000007</v>
      </c>
      <c r="I14" t="s">
        <v>14</v>
      </c>
      <c r="J14" t="str">
        <f t="shared" si="0"/>
        <v>Adult</v>
      </c>
      <c r="K14" t="str">
        <f t="shared" si="1"/>
        <v>Low</v>
      </c>
      <c r="L14">
        <f t="shared" si="2"/>
        <v>1</v>
      </c>
    </row>
    <row r="15" spans="1:16">
      <c r="A15">
        <v>0</v>
      </c>
      <c r="B15">
        <v>3</v>
      </c>
      <c r="C15" t="s">
        <v>34</v>
      </c>
      <c r="D15" t="s">
        <v>13</v>
      </c>
      <c r="E15">
        <v>39</v>
      </c>
      <c r="F15">
        <v>1</v>
      </c>
      <c r="G15">
        <v>5</v>
      </c>
      <c r="H15">
        <v>31.274999999999999</v>
      </c>
      <c r="I15" t="s">
        <v>14</v>
      </c>
      <c r="J15" t="str">
        <f t="shared" si="0"/>
        <v>Adult</v>
      </c>
      <c r="K15" t="str">
        <f t="shared" si="1"/>
        <v>Low</v>
      </c>
      <c r="L15">
        <f t="shared" si="2"/>
        <v>7</v>
      </c>
    </row>
    <row r="16" spans="1:16">
      <c r="A16">
        <v>0</v>
      </c>
      <c r="B16">
        <v>3</v>
      </c>
      <c r="C16" t="s">
        <v>35</v>
      </c>
      <c r="D16" t="s">
        <v>17</v>
      </c>
      <c r="E16">
        <v>14</v>
      </c>
      <c r="F16">
        <v>0</v>
      </c>
      <c r="G16">
        <v>0</v>
      </c>
      <c r="H16">
        <v>7.8541999999999996</v>
      </c>
      <c r="I16" t="s">
        <v>14</v>
      </c>
      <c r="J16" t="str">
        <f t="shared" si="0"/>
        <v>Child</v>
      </c>
      <c r="K16" t="str">
        <f t="shared" si="1"/>
        <v>Low</v>
      </c>
      <c r="L16">
        <f t="shared" si="2"/>
        <v>1</v>
      </c>
    </row>
    <row r="17" spans="1:12">
      <c r="A17">
        <v>1</v>
      </c>
      <c r="B17">
        <v>2</v>
      </c>
      <c r="C17" t="s">
        <v>36</v>
      </c>
      <c r="D17" t="s">
        <v>17</v>
      </c>
      <c r="E17">
        <v>55</v>
      </c>
      <c r="F17">
        <v>0</v>
      </c>
      <c r="G17">
        <v>0</v>
      </c>
      <c r="H17">
        <v>16</v>
      </c>
      <c r="I17" t="s">
        <v>14</v>
      </c>
      <c r="J17" t="str">
        <f t="shared" si="0"/>
        <v>Adult</v>
      </c>
      <c r="K17" t="str">
        <f t="shared" si="1"/>
        <v>Low</v>
      </c>
      <c r="L17">
        <f t="shared" si="2"/>
        <v>1</v>
      </c>
    </row>
    <row r="18" spans="1:12">
      <c r="A18">
        <v>0</v>
      </c>
      <c r="B18">
        <v>3</v>
      </c>
      <c r="C18" t="s">
        <v>37</v>
      </c>
      <c r="D18" t="s">
        <v>13</v>
      </c>
      <c r="E18">
        <v>2</v>
      </c>
      <c r="F18">
        <v>4</v>
      </c>
      <c r="G18">
        <v>1</v>
      </c>
      <c r="H18">
        <v>29.125</v>
      </c>
      <c r="I18" t="s">
        <v>26</v>
      </c>
      <c r="J18" t="str">
        <f t="shared" si="0"/>
        <v>Child</v>
      </c>
      <c r="K18" t="str">
        <f t="shared" si="1"/>
        <v>Low</v>
      </c>
      <c r="L18">
        <f t="shared" si="2"/>
        <v>6</v>
      </c>
    </row>
    <row r="19" spans="1:12">
      <c r="A19">
        <v>1</v>
      </c>
      <c r="B19">
        <v>2</v>
      </c>
      <c r="C19" t="s">
        <v>38</v>
      </c>
      <c r="D19" t="s">
        <v>13</v>
      </c>
      <c r="F19">
        <v>0</v>
      </c>
      <c r="G19">
        <v>0</v>
      </c>
      <c r="H19">
        <v>13</v>
      </c>
      <c r="I19" t="s">
        <v>14</v>
      </c>
      <c r="J19" t="str">
        <f t="shared" si="0"/>
        <v>Child</v>
      </c>
      <c r="K19" t="str">
        <f t="shared" si="1"/>
        <v>Low</v>
      </c>
      <c r="L19">
        <f t="shared" si="2"/>
        <v>1</v>
      </c>
    </row>
    <row r="20" spans="1:12">
      <c r="A20">
        <v>0</v>
      </c>
      <c r="B20">
        <v>3</v>
      </c>
      <c r="C20" t="s">
        <v>39</v>
      </c>
      <c r="D20" t="s">
        <v>17</v>
      </c>
      <c r="E20">
        <v>31</v>
      </c>
      <c r="F20">
        <v>1</v>
      </c>
      <c r="G20">
        <v>0</v>
      </c>
      <c r="H20">
        <v>18</v>
      </c>
      <c r="I20" t="s">
        <v>14</v>
      </c>
      <c r="J20" t="str">
        <f t="shared" si="0"/>
        <v>Adult</v>
      </c>
      <c r="K20" t="str">
        <f t="shared" si="1"/>
        <v>Low</v>
      </c>
      <c r="L20">
        <f t="shared" si="2"/>
        <v>2</v>
      </c>
    </row>
    <row r="21" spans="1:12">
      <c r="A21">
        <v>1</v>
      </c>
      <c r="B21">
        <v>3</v>
      </c>
      <c r="C21" t="s">
        <v>40</v>
      </c>
      <c r="D21" t="s">
        <v>17</v>
      </c>
      <c r="F21">
        <v>0</v>
      </c>
      <c r="G21">
        <v>0</v>
      </c>
      <c r="H21">
        <v>7.2249999999999996</v>
      </c>
      <c r="I21" t="s">
        <v>18</v>
      </c>
      <c r="J21" t="str">
        <f t="shared" si="0"/>
        <v>Child</v>
      </c>
      <c r="K21" t="str">
        <f t="shared" si="1"/>
        <v>Low</v>
      </c>
      <c r="L21">
        <f t="shared" si="2"/>
        <v>1</v>
      </c>
    </row>
    <row r="22" spans="1:12">
      <c r="A22">
        <v>0</v>
      </c>
      <c r="B22">
        <v>2</v>
      </c>
      <c r="C22" t="s">
        <v>41</v>
      </c>
      <c r="D22" t="s">
        <v>13</v>
      </c>
      <c r="E22">
        <v>35</v>
      </c>
      <c r="F22">
        <v>0</v>
      </c>
      <c r="G22">
        <v>0</v>
      </c>
      <c r="H22">
        <v>26</v>
      </c>
      <c r="I22" t="s">
        <v>14</v>
      </c>
      <c r="J22" t="str">
        <f t="shared" si="0"/>
        <v>Adult</v>
      </c>
      <c r="K22" t="str">
        <f t="shared" si="1"/>
        <v>Low</v>
      </c>
      <c r="L22">
        <f t="shared" si="2"/>
        <v>1</v>
      </c>
    </row>
    <row r="23" spans="1:12">
      <c r="A23">
        <v>1</v>
      </c>
      <c r="B23">
        <v>2</v>
      </c>
      <c r="C23" t="s">
        <v>42</v>
      </c>
      <c r="D23" t="s">
        <v>13</v>
      </c>
      <c r="E23">
        <v>34</v>
      </c>
      <c r="F23">
        <v>0</v>
      </c>
      <c r="G23">
        <v>0</v>
      </c>
      <c r="H23">
        <v>13</v>
      </c>
      <c r="I23" t="s">
        <v>14</v>
      </c>
      <c r="J23" t="str">
        <f t="shared" si="0"/>
        <v>Adult</v>
      </c>
      <c r="K23" t="str">
        <f t="shared" si="1"/>
        <v>Low</v>
      </c>
      <c r="L23">
        <f t="shared" si="2"/>
        <v>1</v>
      </c>
    </row>
    <row r="24" spans="1:12">
      <c r="A24">
        <v>1</v>
      </c>
      <c r="B24">
        <v>3</v>
      </c>
      <c r="C24" t="s">
        <v>43</v>
      </c>
      <c r="D24" t="s">
        <v>17</v>
      </c>
      <c r="E24">
        <v>15</v>
      </c>
      <c r="F24">
        <v>0</v>
      </c>
      <c r="G24">
        <v>0</v>
      </c>
      <c r="H24">
        <v>8.0291999999999994</v>
      </c>
      <c r="I24" t="s">
        <v>26</v>
      </c>
      <c r="J24" t="str">
        <f t="shared" si="0"/>
        <v>Child</v>
      </c>
      <c r="K24" t="str">
        <f t="shared" si="1"/>
        <v>Low</v>
      </c>
      <c r="L24">
        <f t="shared" si="2"/>
        <v>1</v>
      </c>
    </row>
    <row r="25" spans="1:12">
      <c r="A25">
        <v>1</v>
      </c>
      <c r="B25">
        <v>1</v>
      </c>
      <c r="C25" t="s">
        <v>44</v>
      </c>
      <c r="D25" t="s">
        <v>13</v>
      </c>
      <c r="E25">
        <v>28</v>
      </c>
      <c r="F25">
        <v>0</v>
      </c>
      <c r="G25">
        <v>0</v>
      </c>
      <c r="H25">
        <v>35.5</v>
      </c>
      <c r="I25" t="s">
        <v>14</v>
      </c>
      <c r="J25" t="str">
        <f t="shared" si="0"/>
        <v>Adult</v>
      </c>
      <c r="K25" t="str">
        <f t="shared" si="1"/>
        <v>Low</v>
      </c>
      <c r="L25">
        <f t="shared" si="2"/>
        <v>1</v>
      </c>
    </row>
    <row r="26" spans="1:12">
      <c r="A26">
        <v>0</v>
      </c>
      <c r="B26">
        <v>3</v>
      </c>
      <c r="C26" t="s">
        <v>45</v>
      </c>
      <c r="D26" t="s">
        <v>17</v>
      </c>
      <c r="E26">
        <v>8</v>
      </c>
      <c r="F26">
        <v>3</v>
      </c>
      <c r="G26">
        <v>1</v>
      </c>
      <c r="H26">
        <v>21.074999999999999</v>
      </c>
      <c r="I26" t="s">
        <v>14</v>
      </c>
      <c r="J26" t="str">
        <f t="shared" si="0"/>
        <v>Child</v>
      </c>
      <c r="K26" t="str">
        <f t="shared" si="1"/>
        <v>Low</v>
      </c>
      <c r="L26">
        <f t="shared" si="2"/>
        <v>5</v>
      </c>
    </row>
    <row r="27" spans="1:12">
      <c r="A27">
        <v>1</v>
      </c>
      <c r="B27">
        <v>3</v>
      </c>
      <c r="C27" t="s">
        <v>46</v>
      </c>
      <c r="D27" t="s">
        <v>17</v>
      </c>
      <c r="E27">
        <v>38</v>
      </c>
      <c r="F27">
        <v>1</v>
      </c>
      <c r="G27">
        <v>5</v>
      </c>
      <c r="H27">
        <v>31.387499999999999</v>
      </c>
      <c r="I27" t="s">
        <v>14</v>
      </c>
      <c r="J27" t="str">
        <f t="shared" si="0"/>
        <v>Adult</v>
      </c>
      <c r="K27" t="str">
        <f t="shared" si="1"/>
        <v>Low</v>
      </c>
      <c r="L27">
        <f t="shared" si="2"/>
        <v>7</v>
      </c>
    </row>
    <row r="28" spans="1:12">
      <c r="A28">
        <v>0</v>
      </c>
      <c r="B28">
        <v>3</v>
      </c>
      <c r="C28" t="s">
        <v>47</v>
      </c>
      <c r="D28" t="s">
        <v>13</v>
      </c>
      <c r="F28">
        <v>0</v>
      </c>
      <c r="G28">
        <v>0</v>
      </c>
      <c r="H28">
        <v>7.2249999999999996</v>
      </c>
      <c r="I28" t="s">
        <v>18</v>
      </c>
      <c r="J28" t="str">
        <f t="shared" si="0"/>
        <v>Child</v>
      </c>
      <c r="K28" t="str">
        <f t="shared" si="1"/>
        <v>Low</v>
      </c>
      <c r="L28">
        <f t="shared" si="2"/>
        <v>1</v>
      </c>
    </row>
    <row r="29" spans="1:12">
      <c r="A29">
        <v>0</v>
      </c>
      <c r="B29">
        <v>1</v>
      </c>
      <c r="C29" t="s">
        <v>48</v>
      </c>
      <c r="D29" t="s">
        <v>13</v>
      </c>
      <c r="E29">
        <v>19</v>
      </c>
      <c r="F29">
        <v>3</v>
      </c>
      <c r="G29">
        <v>2</v>
      </c>
      <c r="H29">
        <v>263</v>
      </c>
      <c r="I29" t="s">
        <v>14</v>
      </c>
      <c r="J29" t="str">
        <f t="shared" si="0"/>
        <v>Adult</v>
      </c>
      <c r="K29" t="str">
        <f t="shared" si="1"/>
        <v>High</v>
      </c>
      <c r="L29">
        <f t="shared" si="2"/>
        <v>6</v>
      </c>
    </row>
    <row r="30" spans="1:12">
      <c r="A30">
        <v>1</v>
      </c>
      <c r="B30">
        <v>3</v>
      </c>
      <c r="C30" t="s">
        <v>49</v>
      </c>
      <c r="D30" t="s">
        <v>17</v>
      </c>
      <c r="F30">
        <v>0</v>
      </c>
      <c r="G30">
        <v>0</v>
      </c>
      <c r="H30">
        <v>7.8792</v>
      </c>
      <c r="I30" t="s">
        <v>26</v>
      </c>
      <c r="J30" t="str">
        <f t="shared" si="0"/>
        <v>Child</v>
      </c>
      <c r="K30" t="str">
        <f t="shared" si="1"/>
        <v>Low</v>
      </c>
      <c r="L30">
        <f t="shared" si="2"/>
        <v>1</v>
      </c>
    </row>
    <row r="31" spans="1:12">
      <c r="A31">
        <v>0</v>
      </c>
      <c r="B31">
        <v>3</v>
      </c>
      <c r="C31" t="s">
        <v>50</v>
      </c>
      <c r="D31" t="s">
        <v>13</v>
      </c>
      <c r="F31">
        <v>0</v>
      </c>
      <c r="G31">
        <v>0</v>
      </c>
      <c r="H31">
        <v>7.8958000000000004</v>
      </c>
      <c r="I31" t="s">
        <v>14</v>
      </c>
      <c r="J31" t="str">
        <f t="shared" si="0"/>
        <v>Child</v>
      </c>
      <c r="K31" t="str">
        <f t="shared" si="1"/>
        <v>Low</v>
      </c>
      <c r="L31">
        <f t="shared" si="2"/>
        <v>1</v>
      </c>
    </row>
    <row r="32" spans="1:12">
      <c r="A32">
        <v>0</v>
      </c>
      <c r="B32">
        <v>1</v>
      </c>
      <c r="C32" t="s">
        <v>51</v>
      </c>
      <c r="D32" t="s">
        <v>13</v>
      </c>
      <c r="E32">
        <v>40</v>
      </c>
      <c r="F32">
        <v>0</v>
      </c>
      <c r="G32">
        <v>0</v>
      </c>
      <c r="H32">
        <v>27.720800000000001</v>
      </c>
      <c r="I32" t="s">
        <v>18</v>
      </c>
      <c r="J32" t="str">
        <f t="shared" si="0"/>
        <v>Adult</v>
      </c>
      <c r="K32" t="str">
        <f t="shared" si="1"/>
        <v>Low</v>
      </c>
      <c r="L32">
        <f t="shared" si="2"/>
        <v>1</v>
      </c>
    </row>
    <row r="33" spans="1:12">
      <c r="A33">
        <v>1</v>
      </c>
      <c r="B33">
        <v>1</v>
      </c>
      <c r="C33" t="s">
        <v>52</v>
      </c>
      <c r="D33" t="s">
        <v>17</v>
      </c>
      <c r="F33">
        <v>1</v>
      </c>
      <c r="G33">
        <v>0</v>
      </c>
      <c r="H33">
        <v>146.52080000000001</v>
      </c>
      <c r="I33" t="s">
        <v>18</v>
      </c>
      <c r="J33" t="str">
        <f t="shared" si="0"/>
        <v>Child</v>
      </c>
      <c r="K33" t="str">
        <f t="shared" si="1"/>
        <v>High</v>
      </c>
      <c r="L33">
        <f t="shared" si="2"/>
        <v>2</v>
      </c>
    </row>
    <row r="34" spans="1:12">
      <c r="A34">
        <v>1</v>
      </c>
      <c r="B34">
        <v>3</v>
      </c>
      <c r="C34" t="s">
        <v>53</v>
      </c>
      <c r="D34" t="s">
        <v>17</v>
      </c>
      <c r="F34">
        <v>0</v>
      </c>
      <c r="G34">
        <v>0</v>
      </c>
      <c r="H34">
        <v>7.75</v>
      </c>
      <c r="I34" t="s">
        <v>26</v>
      </c>
      <c r="J34" t="str">
        <f t="shared" si="0"/>
        <v>Child</v>
      </c>
      <c r="K34" t="str">
        <f t="shared" si="1"/>
        <v>Low</v>
      </c>
      <c r="L34">
        <f t="shared" si="2"/>
        <v>1</v>
      </c>
    </row>
    <row r="35" spans="1:12">
      <c r="A35">
        <v>0</v>
      </c>
      <c r="B35">
        <v>2</v>
      </c>
      <c r="C35" t="s">
        <v>54</v>
      </c>
      <c r="D35" t="s">
        <v>13</v>
      </c>
      <c r="E35">
        <v>66</v>
      </c>
      <c r="F35">
        <v>0</v>
      </c>
      <c r="G35">
        <v>0</v>
      </c>
      <c r="H35">
        <v>10.5</v>
      </c>
      <c r="I35" t="s">
        <v>14</v>
      </c>
      <c r="J35" t="str">
        <f t="shared" si="0"/>
        <v>Adult</v>
      </c>
      <c r="K35" t="str">
        <f t="shared" si="1"/>
        <v>Low</v>
      </c>
      <c r="L35">
        <f t="shared" si="2"/>
        <v>1</v>
      </c>
    </row>
    <row r="36" spans="1:12">
      <c r="A36">
        <v>0</v>
      </c>
      <c r="B36">
        <v>1</v>
      </c>
      <c r="C36" t="s">
        <v>55</v>
      </c>
      <c r="D36" t="s">
        <v>13</v>
      </c>
      <c r="E36">
        <v>28</v>
      </c>
      <c r="F36">
        <v>1</v>
      </c>
      <c r="G36">
        <v>0</v>
      </c>
      <c r="H36">
        <v>82.1708</v>
      </c>
      <c r="I36" t="s">
        <v>18</v>
      </c>
      <c r="J36" t="str">
        <f t="shared" si="0"/>
        <v>Adult</v>
      </c>
      <c r="K36" t="str">
        <f t="shared" si="1"/>
        <v>High</v>
      </c>
      <c r="L36">
        <f t="shared" si="2"/>
        <v>2</v>
      </c>
    </row>
    <row r="37" spans="1:12">
      <c r="A37">
        <v>0</v>
      </c>
      <c r="B37">
        <v>1</v>
      </c>
      <c r="C37" t="s">
        <v>56</v>
      </c>
      <c r="D37" t="s">
        <v>13</v>
      </c>
      <c r="E37">
        <v>42</v>
      </c>
      <c r="F37">
        <v>1</v>
      </c>
      <c r="G37">
        <v>0</v>
      </c>
      <c r="H37">
        <v>52</v>
      </c>
      <c r="I37" t="s">
        <v>14</v>
      </c>
      <c r="J37" t="str">
        <f t="shared" si="0"/>
        <v>Adult</v>
      </c>
      <c r="K37" t="str">
        <f t="shared" si="1"/>
        <v>High</v>
      </c>
      <c r="L37">
        <f t="shared" si="2"/>
        <v>2</v>
      </c>
    </row>
    <row r="38" spans="1:12">
      <c r="A38">
        <v>1</v>
      </c>
      <c r="B38">
        <v>3</v>
      </c>
      <c r="C38" t="s">
        <v>57</v>
      </c>
      <c r="D38" t="s">
        <v>13</v>
      </c>
      <c r="F38">
        <v>0</v>
      </c>
      <c r="G38">
        <v>0</v>
      </c>
      <c r="H38">
        <v>7.2291999999999996</v>
      </c>
      <c r="I38" t="s">
        <v>18</v>
      </c>
      <c r="J38" t="str">
        <f t="shared" si="0"/>
        <v>Child</v>
      </c>
      <c r="K38" t="str">
        <f t="shared" si="1"/>
        <v>Low</v>
      </c>
      <c r="L38">
        <f t="shared" si="2"/>
        <v>1</v>
      </c>
    </row>
    <row r="39" spans="1:12">
      <c r="A39">
        <v>0</v>
      </c>
      <c r="B39">
        <v>3</v>
      </c>
      <c r="C39" t="s">
        <v>58</v>
      </c>
      <c r="D39" t="s">
        <v>13</v>
      </c>
      <c r="E39">
        <v>21</v>
      </c>
      <c r="F39">
        <v>0</v>
      </c>
      <c r="G39">
        <v>0</v>
      </c>
      <c r="H39">
        <v>8.0500000000000007</v>
      </c>
      <c r="I39" t="s">
        <v>14</v>
      </c>
      <c r="J39" t="str">
        <f t="shared" si="0"/>
        <v>Adult</v>
      </c>
      <c r="K39" t="str">
        <f t="shared" si="1"/>
        <v>Low</v>
      </c>
      <c r="L39">
        <f t="shared" si="2"/>
        <v>1</v>
      </c>
    </row>
    <row r="40" spans="1:12">
      <c r="A40">
        <v>0</v>
      </c>
      <c r="B40">
        <v>3</v>
      </c>
      <c r="C40" t="s">
        <v>59</v>
      </c>
      <c r="D40" t="s">
        <v>17</v>
      </c>
      <c r="E40">
        <v>18</v>
      </c>
      <c r="F40">
        <v>2</v>
      </c>
      <c r="G40">
        <v>0</v>
      </c>
      <c r="H40">
        <v>18</v>
      </c>
      <c r="I40" t="s">
        <v>14</v>
      </c>
      <c r="J40" t="str">
        <f t="shared" si="0"/>
        <v>Adult</v>
      </c>
      <c r="K40" t="str">
        <f t="shared" si="1"/>
        <v>Low</v>
      </c>
      <c r="L40">
        <f t="shared" si="2"/>
        <v>3</v>
      </c>
    </row>
    <row r="41" spans="1:12">
      <c r="A41">
        <v>1</v>
      </c>
      <c r="B41">
        <v>3</v>
      </c>
      <c r="C41" t="s">
        <v>60</v>
      </c>
      <c r="D41" t="s">
        <v>17</v>
      </c>
      <c r="E41">
        <v>14</v>
      </c>
      <c r="F41">
        <v>1</v>
      </c>
      <c r="G41">
        <v>0</v>
      </c>
      <c r="H41">
        <v>11.2417</v>
      </c>
      <c r="I41" t="s">
        <v>18</v>
      </c>
      <c r="J41" t="str">
        <f t="shared" si="0"/>
        <v>Child</v>
      </c>
      <c r="K41" t="str">
        <f t="shared" si="1"/>
        <v>Low</v>
      </c>
      <c r="L41">
        <f t="shared" si="2"/>
        <v>2</v>
      </c>
    </row>
    <row r="42" spans="1:12">
      <c r="A42">
        <v>0</v>
      </c>
      <c r="B42">
        <v>3</v>
      </c>
      <c r="C42" t="s">
        <v>61</v>
      </c>
      <c r="D42" t="s">
        <v>17</v>
      </c>
      <c r="E42">
        <v>40</v>
      </c>
      <c r="F42">
        <v>1</v>
      </c>
      <c r="G42">
        <v>0</v>
      </c>
      <c r="H42">
        <v>9.4749999999999996</v>
      </c>
      <c r="I42" t="s">
        <v>14</v>
      </c>
      <c r="J42" t="str">
        <f t="shared" si="0"/>
        <v>Adult</v>
      </c>
      <c r="K42" t="str">
        <f t="shared" si="1"/>
        <v>Low</v>
      </c>
      <c r="L42">
        <f t="shared" si="2"/>
        <v>2</v>
      </c>
    </row>
    <row r="43" spans="1:12">
      <c r="A43">
        <v>0</v>
      </c>
      <c r="B43">
        <v>2</v>
      </c>
      <c r="C43" t="s">
        <v>62</v>
      </c>
      <c r="D43" t="s">
        <v>17</v>
      </c>
      <c r="E43">
        <v>27</v>
      </c>
      <c r="F43">
        <v>1</v>
      </c>
      <c r="G43">
        <v>0</v>
      </c>
      <c r="H43">
        <v>21</v>
      </c>
      <c r="I43" t="s">
        <v>14</v>
      </c>
      <c r="J43" t="str">
        <f t="shared" si="0"/>
        <v>Adult</v>
      </c>
      <c r="K43" t="str">
        <f t="shared" si="1"/>
        <v>Low</v>
      </c>
      <c r="L43">
        <f t="shared" si="2"/>
        <v>2</v>
      </c>
    </row>
    <row r="44" spans="1:12">
      <c r="A44">
        <v>0</v>
      </c>
      <c r="B44">
        <v>3</v>
      </c>
      <c r="C44" t="s">
        <v>63</v>
      </c>
      <c r="D44" t="s">
        <v>13</v>
      </c>
      <c r="F44">
        <v>0</v>
      </c>
      <c r="G44">
        <v>0</v>
      </c>
      <c r="H44">
        <v>7.8958000000000004</v>
      </c>
      <c r="I44" t="s">
        <v>18</v>
      </c>
      <c r="J44" t="str">
        <f t="shared" si="0"/>
        <v>Child</v>
      </c>
      <c r="K44" t="str">
        <f t="shared" si="1"/>
        <v>Low</v>
      </c>
      <c r="L44">
        <f t="shared" si="2"/>
        <v>1</v>
      </c>
    </row>
    <row r="45" spans="1:12">
      <c r="A45">
        <v>1</v>
      </c>
      <c r="B45">
        <v>2</v>
      </c>
      <c r="C45" t="s">
        <v>64</v>
      </c>
      <c r="D45" t="s">
        <v>17</v>
      </c>
      <c r="E45">
        <v>3</v>
      </c>
      <c r="F45">
        <v>1</v>
      </c>
      <c r="G45">
        <v>2</v>
      </c>
      <c r="H45">
        <v>41.5792</v>
      </c>
      <c r="I45" t="s">
        <v>18</v>
      </c>
      <c r="J45" t="str">
        <f t="shared" si="0"/>
        <v>Child</v>
      </c>
      <c r="K45" t="str">
        <f t="shared" si="1"/>
        <v>Low</v>
      </c>
      <c r="L45">
        <f t="shared" si="2"/>
        <v>4</v>
      </c>
    </row>
    <row r="46" spans="1:12">
      <c r="A46">
        <v>1</v>
      </c>
      <c r="B46">
        <v>3</v>
      </c>
      <c r="C46" t="s">
        <v>65</v>
      </c>
      <c r="D46" t="s">
        <v>17</v>
      </c>
      <c r="E46">
        <v>19</v>
      </c>
      <c r="F46">
        <v>0</v>
      </c>
      <c r="G46">
        <v>0</v>
      </c>
      <c r="H46">
        <v>7.8792</v>
      </c>
      <c r="I46" t="s">
        <v>26</v>
      </c>
      <c r="J46" t="str">
        <f t="shared" si="0"/>
        <v>Adult</v>
      </c>
      <c r="K46" t="str">
        <f t="shared" si="1"/>
        <v>Low</v>
      </c>
      <c r="L46">
        <f t="shared" si="2"/>
        <v>1</v>
      </c>
    </row>
    <row r="47" spans="1:12">
      <c r="A47">
        <v>0</v>
      </c>
      <c r="B47">
        <v>3</v>
      </c>
      <c r="C47" t="s">
        <v>66</v>
      </c>
      <c r="D47" t="s">
        <v>13</v>
      </c>
      <c r="F47">
        <v>0</v>
      </c>
      <c r="G47">
        <v>0</v>
      </c>
      <c r="H47">
        <v>8.0500000000000007</v>
      </c>
      <c r="I47" t="s">
        <v>14</v>
      </c>
      <c r="J47" t="str">
        <f t="shared" si="0"/>
        <v>Child</v>
      </c>
      <c r="K47" t="str">
        <f t="shared" si="1"/>
        <v>Low</v>
      </c>
      <c r="L47">
        <f t="shared" si="2"/>
        <v>1</v>
      </c>
    </row>
    <row r="48" spans="1:12">
      <c r="A48">
        <v>0</v>
      </c>
      <c r="B48">
        <v>3</v>
      </c>
      <c r="C48" t="s">
        <v>67</v>
      </c>
      <c r="D48" t="s">
        <v>13</v>
      </c>
      <c r="F48">
        <v>1</v>
      </c>
      <c r="G48">
        <v>0</v>
      </c>
      <c r="H48">
        <v>15.5</v>
      </c>
      <c r="I48" t="s">
        <v>26</v>
      </c>
      <c r="J48" t="str">
        <f t="shared" si="0"/>
        <v>Child</v>
      </c>
      <c r="K48" t="str">
        <f t="shared" si="1"/>
        <v>Low</v>
      </c>
      <c r="L48">
        <f t="shared" si="2"/>
        <v>2</v>
      </c>
    </row>
    <row r="49" spans="1:12">
      <c r="A49">
        <v>1</v>
      </c>
      <c r="B49">
        <v>3</v>
      </c>
      <c r="C49" t="s">
        <v>68</v>
      </c>
      <c r="D49" t="s">
        <v>17</v>
      </c>
      <c r="F49">
        <v>0</v>
      </c>
      <c r="G49">
        <v>0</v>
      </c>
      <c r="H49">
        <v>7.75</v>
      </c>
      <c r="I49" t="s">
        <v>26</v>
      </c>
      <c r="J49" t="str">
        <f t="shared" si="0"/>
        <v>Child</v>
      </c>
      <c r="K49" t="str">
        <f t="shared" si="1"/>
        <v>Low</v>
      </c>
      <c r="L49">
        <f t="shared" si="2"/>
        <v>1</v>
      </c>
    </row>
    <row r="50" spans="1:12">
      <c r="A50">
        <v>0</v>
      </c>
      <c r="B50">
        <v>3</v>
      </c>
      <c r="C50" t="s">
        <v>69</v>
      </c>
      <c r="D50" t="s">
        <v>13</v>
      </c>
      <c r="F50">
        <v>2</v>
      </c>
      <c r="G50">
        <v>0</v>
      </c>
      <c r="H50">
        <v>21.679200000000002</v>
      </c>
      <c r="I50" t="s">
        <v>18</v>
      </c>
      <c r="J50" t="str">
        <f t="shared" si="0"/>
        <v>Child</v>
      </c>
      <c r="K50" t="str">
        <f t="shared" si="1"/>
        <v>Low</v>
      </c>
      <c r="L50">
        <f t="shared" si="2"/>
        <v>3</v>
      </c>
    </row>
    <row r="51" spans="1:12">
      <c r="A51">
        <v>0</v>
      </c>
      <c r="B51">
        <v>3</v>
      </c>
      <c r="C51" t="s">
        <v>70</v>
      </c>
      <c r="D51" t="s">
        <v>17</v>
      </c>
      <c r="E51">
        <v>18</v>
      </c>
      <c r="F51">
        <v>1</v>
      </c>
      <c r="G51">
        <v>0</v>
      </c>
      <c r="H51">
        <v>17.8</v>
      </c>
      <c r="I51" t="s">
        <v>14</v>
      </c>
      <c r="J51" t="str">
        <f t="shared" si="0"/>
        <v>Adult</v>
      </c>
      <c r="K51" t="str">
        <f t="shared" si="1"/>
        <v>Low</v>
      </c>
      <c r="L51">
        <f t="shared" si="2"/>
        <v>2</v>
      </c>
    </row>
    <row r="52" spans="1:12">
      <c r="A52">
        <v>0</v>
      </c>
      <c r="B52">
        <v>3</v>
      </c>
      <c r="C52" t="s">
        <v>71</v>
      </c>
      <c r="D52" t="s">
        <v>13</v>
      </c>
      <c r="E52">
        <v>7</v>
      </c>
      <c r="F52">
        <v>4</v>
      </c>
      <c r="G52">
        <v>1</v>
      </c>
      <c r="H52">
        <v>39.6875</v>
      </c>
      <c r="I52" t="s">
        <v>14</v>
      </c>
      <c r="J52" t="str">
        <f t="shared" si="0"/>
        <v>Child</v>
      </c>
      <c r="K52" t="str">
        <f t="shared" si="1"/>
        <v>Low</v>
      </c>
      <c r="L52">
        <f t="shared" si="2"/>
        <v>6</v>
      </c>
    </row>
    <row r="53" spans="1:12">
      <c r="A53">
        <v>0</v>
      </c>
      <c r="B53">
        <v>3</v>
      </c>
      <c r="C53" t="s">
        <v>72</v>
      </c>
      <c r="D53" t="s">
        <v>13</v>
      </c>
      <c r="E53">
        <v>21</v>
      </c>
      <c r="F53">
        <v>0</v>
      </c>
      <c r="G53">
        <v>0</v>
      </c>
      <c r="H53">
        <v>7.8</v>
      </c>
      <c r="I53" t="s">
        <v>14</v>
      </c>
      <c r="J53" t="str">
        <f t="shared" si="0"/>
        <v>Adult</v>
      </c>
      <c r="K53" t="str">
        <f t="shared" si="1"/>
        <v>Low</v>
      </c>
      <c r="L53">
        <f t="shared" si="2"/>
        <v>1</v>
      </c>
    </row>
    <row r="54" spans="1:12">
      <c r="A54">
        <v>1</v>
      </c>
      <c r="B54">
        <v>1</v>
      </c>
      <c r="C54" t="s">
        <v>73</v>
      </c>
      <c r="D54" t="s">
        <v>17</v>
      </c>
      <c r="E54">
        <v>49</v>
      </c>
      <c r="F54">
        <v>1</v>
      </c>
      <c r="G54">
        <v>0</v>
      </c>
      <c r="H54">
        <v>76.729200000000006</v>
      </c>
      <c r="I54" t="s">
        <v>18</v>
      </c>
      <c r="J54" t="str">
        <f t="shared" si="0"/>
        <v>Adult</v>
      </c>
      <c r="K54" t="str">
        <f t="shared" si="1"/>
        <v>High</v>
      </c>
      <c r="L54">
        <f t="shared" si="2"/>
        <v>2</v>
      </c>
    </row>
    <row r="55" spans="1:12">
      <c r="A55">
        <v>1</v>
      </c>
      <c r="B55">
        <v>2</v>
      </c>
      <c r="C55" t="s">
        <v>74</v>
      </c>
      <c r="D55" t="s">
        <v>17</v>
      </c>
      <c r="E55">
        <v>29</v>
      </c>
      <c r="F55">
        <v>1</v>
      </c>
      <c r="G55">
        <v>0</v>
      </c>
      <c r="H55">
        <v>26</v>
      </c>
      <c r="I55" t="s">
        <v>14</v>
      </c>
      <c r="J55" t="str">
        <f t="shared" si="0"/>
        <v>Adult</v>
      </c>
      <c r="K55" t="str">
        <f t="shared" si="1"/>
        <v>Low</v>
      </c>
      <c r="L55">
        <f t="shared" si="2"/>
        <v>2</v>
      </c>
    </row>
    <row r="56" spans="1:12">
      <c r="A56">
        <v>0</v>
      </c>
      <c r="B56">
        <v>1</v>
      </c>
      <c r="C56" t="s">
        <v>75</v>
      </c>
      <c r="D56" t="s">
        <v>13</v>
      </c>
      <c r="E56">
        <v>65</v>
      </c>
      <c r="F56">
        <v>0</v>
      </c>
      <c r="G56">
        <v>1</v>
      </c>
      <c r="H56">
        <v>61.979199999999999</v>
      </c>
      <c r="I56" t="s">
        <v>18</v>
      </c>
      <c r="J56" t="str">
        <f t="shared" si="0"/>
        <v>Adult</v>
      </c>
      <c r="K56" t="str">
        <f t="shared" si="1"/>
        <v>High</v>
      </c>
      <c r="L56">
        <f t="shared" si="2"/>
        <v>2</v>
      </c>
    </row>
    <row r="57" spans="1:12">
      <c r="A57">
        <v>1</v>
      </c>
      <c r="B57">
        <v>1</v>
      </c>
      <c r="C57" t="s">
        <v>76</v>
      </c>
      <c r="D57" t="s">
        <v>13</v>
      </c>
      <c r="F57">
        <v>0</v>
      </c>
      <c r="G57">
        <v>0</v>
      </c>
      <c r="H57">
        <v>35.5</v>
      </c>
      <c r="I57" t="s">
        <v>14</v>
      </c>
      <c r="J57" t="str">
        <f t="shared" si="0"/>
        <v>Child</v>
      </c>
      <c r="K57" t="str">
        <f t="shared" si="1"/>
        <v>Low</v>
      </c>
      <c r="L57">
        <f t="shared" si="2"/>
        <v>1</v>
      </c>
    </row>
    <row r="58" spans="1:12">
      <c r="A58">
        <v>1</v>
      </c>
      <c r="B58">
        <v>2</v>
      </c>
      <c r="C58" t="s">
        <v>77</v>
      </c>
      <c r="D58" t="s">
        <v>17</v>
      </c>
      <c r="E58">
        <v>21</v>
      </c>
      <c r="F58">
        <v>0</v>
      </c>
      <c r="G58">
        <v>0</v>
      </c>
      <c r="H58">
        <v>10.5</v>
      </c>
      <c r="I58" t="s">
        <v>14</v>
      </c>
      <c r="J58" t="str">
        <f t="shared" si="0"/>
        <v>Adult</v>
      </c>
      <c r="K58" t="str">
        <f t="shared" si="1"/>
        <v>Low</v>
      </c>
      <c r="L58">
        <f t="shared" si="2"/>
        <v>1</v>
      </c>
    </row>
    <row r="59" spans="1:12">
      <c r="A59">
        <v>0</v>
      </c>
      <c r="B59">
        <v>3</v>
      </c>
      <c r="C59" t="s">
        <v>78</v>
      </c>
      <c r="D59" t="s">
        <v>13</v>
      </c>
      <c r="E59">
        <v>28.5</v>
      </c>
      <c r="F59">
        <v>0</v>
      </c>
      <c r="G59">
        <v>0</v>
      </c>
      <c r="H59">
        <v>7.2291999999999996</v>
      </c>
      <c r="I59" t="s">
        <v>18</v>
      </c>
      <c r="J59" t="str">
        <f t="shared" si="0"/>
        <v>Adult</v>
      </c>
      <c r="K59" t="str">
        <f t="shared" si="1"/>
        <v>Low</v>
      </c>
      <c r="L59">
        <f t="shared" si="2"/>
        <v>1</v>
      </c>
    </row>
    <row r="60" spans="1:12">
      <c r="A60">
        <v>1</v>
      </c>
      <c r="B60">
        <v>2</v>
      </c>
      <c r="C60" t="s">
        <v>79</v>
      </c>
      <c r="D60" t="s">
        <v>17</v>
      </c>
      <c r="E60">
        <v>5</v>
      </c>
      <c r="F60">
        <v>1</v>
      </c>
      <c r="G60">
        <v>2</v>
      </c>
      <c r="H60">
        <v>27.75</v>
      </c>
      <c r="I60" t="s">
        <v>14</v>
      </c>
      <c r="J60" t="str">
        <f t="shared" si="0"/>
        <v>Child</v>
      </c>
      <c r="K60" t="str">
        <f t="shared" si="1"/>
        <v>Low</v>
      </c>
      <c r="L60">
        <f t="shared" si="2"/>
        <v>4</v>
      </c>
    </row>
    <row r="61" spans="1:12">
      <c r="A61">
        <v>0</v>
      </c>
      <c r="B61">
        <v>3</v>
      </c>
      <c r="C61" t="s">
        <v>80</v>
      </c>
      <c r="D61" t="s">
        <v>13</v>
      </c>
      <c r="E61">
        <v>11</v>
      </c>
      <c r="F61">
        <v>5</v>
      </c>
      <c r="G61">
        <v>2</v>
      </c>
      <c r="H61">
        <v>46.9</v>
      </c>
      <c r="I61" t="s">
        <v>14</v>
      </c>
      <c r="J61" t="str">
        <f t="shared" si="0"/>
        <v>Child</v>
      </c>
      <c r="K61" t="str">
        <f t="shared" si="1"/>
        <v>Low</v>
      </c>
      <c r="L61">
        <f t="shared" si="2"/>
        <v>8</v>
      </c>
    </row>
    <row r="62" spans="1:12">
      <c r="A62">
        <v>0</v>
      </c>
      <c r="B62">
        <v>3</v>
      </c>
      <c r="C62" t="s">
        <v>81</v>
      </c>
      <c r="D62" t="s">
        <v>13</v>
      </c>
      <c r="E62">
        <v>22</v>
      </c>
      <c r="F62">
        <v>0</v>
      </c>
      <c r="G62">
        <v>0</v>
      </c>
      <c r="H62">
        <v>7.2291999999999996</v>
      </c>
      <c r="I62" t="s">
        <v>18</v>
      </c>
      <c r="J62" t="str">
        <f t="shared" si="0"/>
        <v>Adult</v>
      </c>
      <c r="K62" t="str">
        <f t="shared" si="1"/>
        <v>Low</v>
      </c>
      <c r="L62">
        <f t="shared" si="2"/>
        <v>1</v>
      </c>
    </row>
    <row r="63" spans="1:12">
      <c r="A63">
        <v>1</v>
      </c>
      <c r="B63">
        <v>1</v>
      </c>
      <c r="C63" t="s">
        <v>82</v>
      </c>
      <c r="D63" t="s">
        <v>17</v>
      </c>
      <c r="E63">
        <v>38</v>
      </c>
      <c r="F63">
        <v>0</v>
      </c>
      <c r="G63">
        <v>0</v>
      </c>
      <c r="H63">
        <v>80</v>
      </c>
      <c r="J63" t="str">
        <f t="shared" si="0"/>
        <v>Adult</v>
      </c>
      <c r="K63" t="str">
        <f t="shared" si="1"/>
        <v>High</v>
      </c>
      <c r="L63">
        <f t="shared" si="2"/>
        <v>1</v>
      </c>
    </row>
    <row r="64" spans="1:12">
      <c r="A64">
        <v>0</v>
      </c>
      <c r="B64">
        <v>1</v>
      </c>
      <c r="C64" t="s">
        <v>83</v>
      </c>
      <c r="D64" t="s">
        <v>13</v>
      </c>
      <c r="E64">
        <v>45</v>
      </c>
      <c r="F64">
        <v>1</v>
      </c>
      <c r="G64">
        <v>0</v>
      </c>
      <c r="H64">
        <v>83.474999999999994</v>
      </c>
      <c r="I64" t="s">
        <v>14</v>
      </c>
      <c r="J64" t="str">
        <f t="shared" si="0"/>
        <v>Adult</v>
      </c>
      <c r="K64" t="str">
        <f t="shared" si="1"/>
        <v>High</v>
      </c>
      <c r="L64">
        <f t="shared" si="2"/>
        <v>2</v>
      </c>
    </row>
    <row r="65" spans="1:12">
      <c r="A65">
        <v>0</v>
      </c>
      <c r="B65">
        <v>3</v>
      </c>
      <c r="C65" t="s">
        <v>84</v>
      </c>
      <c r="D65" t="s">
        <v>13</v>
      </c>
      <c r="E65">
        <v>4</v>
      </c>
      <c r="F65">
        <v>3</v>
      </c>
      <c r="G65">
        <v>2</v>
      </c>
      <c r="H65">
        <v>27.9</v>
      </c>
      <c r="I65" t="s">
        <v>14</v>
      </c>
      <c r="J65" t="str">
        <f t="shared" si="0"/>
        <v>Child</v>
      </c>
      <c r="K65" t="str">
        <f t="shared" si="1"/>
        <v>Low</v>
      </c>
      <c r="L65">
        <f t="shared" si="2"/>
        <v>6</v>
      </c>
    </row>
    <row r="66" spans="1:12">
      <c r="A66">
        <v>0</v>
      </c>
      <c r="B66">
        <v>1</v>
      </c>
      <c r="C66" t="s">
        <v>85</v>
      </c>
      <c r="D66" t="s">
        <v>13</v>
      </c>
      <c r="F66">
        <v>0</v>
      </c>
      <c r="G66">
        <v>0</v>
      </c>
      <c r="H66">
        <v>27.720800000000001</v>
      </c>
      <c r="I66" t="s">
        <v>18</v>
      </c>
      <c r="J66" t="str">
        <f t="shared" si="0"/>
        <v>Child</v>
      </c>
      <c r="K66" t="str">
        <f t="shared" si="1"/>
        <v>Low</v>
      </c>
      <c r="L66">
        <f t="shared" si="2"/>
        <v>1</v>
      </c>
    </row>
    <row r="67" spans="1:12">
      <c r="A67">
        <v>1</v>
      </c>
      <c r="B67">
        <v>3</v>
      </c>
      <c r="C67" t="s">
        <v>86</v>
      </c>
      <c r="D67" t="s">
        <v>13</v>
      </c>
      <c r="F67">
        <v>1</v>
      </c>
      <c r="G67">
        <v>1</v>
      </c>
      <c r="H67">
        <v>15.245799999999999</v>
      </c>
      <c r="I67" t="s">
        <v>18</v>
      </c>
      <c r="J67" t="str">
        <f t="shared" ref="J67:J130" si="3">IF(E67&lt;18,"Child","Adult")</f>
        <v>Child</v>
      </c>
      <c r="K67" t="str">
        <f t="shared" ref="K67:K130" si="4">IF(H67&gt;50,"High","Low")</f>
        <v>Low</v>
      </c>
      <c r="L67">
        <f t="shared" ref="L67:L130" si="5">F67+G67+1</f>
        <v>3</v>
      </c>
    </row>
    <row r="68" spans="1:12">
      <c r="A68">
        <v>1</v>
      </c>
      <c r="B68">
        <v>2</v>
      </c>
      <c r="C68" t="s">
        <v>87</v>
      </c>
      <c r="D68" t="s">
        <v>17</v>
      </c>
      <c r="E68">
        <v>29</v>
      </c>
      <c r="F68">
        <v>0</v>
      </c>
      <c r="G68">
        <v>0</v>
      </c>
      <c r="H68">
        <v>10.5</v>
      </c>
      <c r="I68" t="s">
        <v>14</v>
      </c>
      <c r="J68" t="str">
        <f t="shared" si="3"/>
        <v>Adult</v>
      </c>
      <c r="K68" t="str">
        <f t="shared" si="4"/>
        <v>Low</v>
      </c>
      <c r="L68">
        <f t="shared" si="5"/>
        <v>1</v>
      </c>
    </row>
    <row r="69" spans="1:12">
      <c r="A69">
        <v>0</v>
      </c>
      <c r="B69">
        <v>3</v>
      </c>
      <c r="C69" t="s">
        <v>88</v>
      </c>
      <c r="D69" t="s">
        <v>13</v>
      </c>
      <c r="E69">
        <v>19</v>
      </c>
      <c r="F69">
        <v>0</v>
      </c>
      <c r="G69">
        <v>0</v>
      </c>
      <c r="H69">
        <v>8.1583000000000006</v>
      </c>
      <c r="I69" t="s">
        <v>14</v>
      </c>
      <c r="J69" t="str">
        <f t="shared" si="3"/>
        <v>Adult</v>
      </c>
      <c r="K69" t="str">
        <f t="shared" si="4"/>
        <v>Low</v>
      </c>
      <c r="L69">
        <f t="shared" si="5"/>
        <v>1</v>
      </c>
    </row>
    <row r="70" spans="1:12">
      <c r="A70">
        <v>1</v>
      </c>
      <c r="B70">
        <v>3</v>
      </c>
      <c r="C70" t="s">
        <v>89</v>
      </c>
      <c r="D70" t="s">
        <v>17</v>
      </c>
      <c r="E70">
        <v>17</v>
      </c>
      <c r="F70">
        <v>4</v>
      </c>
      <c r="G70">
        <v>2</v>
      </c>
      <c r="H70">
        <v>7.9249999999999998</v>
      </c>
      <c r="I70" t="s">
        <v>14</v>
      </c>
      <c r="J70" t="str">
        <f t="shared" si="3"/>
        <v>Child</v>
      </c>
      <c r="K70" t="str">
        <f t="shared" si="4"/>
        <v>Low</v>
      </c>
      <c r="L70">
        <f t="shared" si="5"/>
        <v>7</v>
      </c>
    </row>
    <row r="71" spans="1:12">
      <c r="A71">
        <v>0</v>
      </c>
      <c r="B71">
        <v>3</v>
      </c>
      <c r="C71" t="s">
        <v>90</v>
      </c>
      <c r="D71" t="s">
        <v>13</v>
      </c>
      <c r="E71">
        <v>26</v>
      </c>
      <c r="F71">
        <v>2</v>
      </c>
      <c r="G71">
        <v>0</v>
      </c>
      <c r="H71">
        <v>8.6624999999999996</v>
      </c>
      <c r="I71" t="s">
        <v>14</v>
      </c>
      <c r="J71" t="str">
        <f t="shared" si="3"/>
        <v>Adult</v>
      </c>
      <c r="K71" t="str">
        <f t="shared" si="4"/>
        <v>Low</v>
      </c>
      <c r="L71">
        <f t="shared" si="5"/>
        <v>3</v>
      </c>
    </row>
    <row r="72" spans="1:12">
      <c r="A72">
        <v>0</v>
      </c>
      <c r="B72">
        <v>2</v>
      </c>
      <c r="C72" t="s">
        <v>91</v>
      </c>
      <c r="D72" t="s">
        <v>13</v>
      </c>
      <c r="E72">
        <v>32</v>
      </c>
      <c r="F72">
        <v>0</v>
      </c>
      <c r="G72">
        <v>0</v>
      </c>
      <c r="H72">
        <v>10.5</v>
      </c>
      <c r="I72" t="s">
        <v>14</v>
      </c>
      <c r="J72" t="str">
        <f t="shared" si="3"/>
        <v>Adult</v>
      </c>
      <c r="K72" t="str">
        <f t="shared" si="4"/>
        <v>Low</v>
      </c>
      <c r="L72">
        <f t="shared" si="5"/>
        <v>1</v>
      </c>
    </row>
    <row r="73" spans="1:12">
      <c r="A73">
        <v>0</v>
      </c>
      <c r="B73">
        <v>3</v>
      </c>
      <c r="C73" t="s">
        <v>92</v>
      </c>
      <c r="D73" t="s">
        <v>17</v>
      </c>
      <c r="E73">
        <v>16</v>
      </c>
      <c r="F73">
        <v>5</v>
      </c>
      <c r="G73">
        <v>2</v>
      </c>
      <c r="H73">
        <v>46.9</v>
      </c>
      <c r="I73" t="s">
        <v>14</v>
      </c>
      <c r="J73" t="str">
        <f t="shared" si="3"/>
        <v>Child</v>
      </c>
      <c r="K73" t="str">
        <f t="shared" si="4"/>
        <v>Low</v>
      </c>
      <c r="L73">
        <f t="shared" si="5"/>
        <v>8</v>
      </c>
    </row>
    <row r="74" spans="1:12">
      <c r="A74">
        <v>0</v>
      </c>
      <c r="B74">
        <v>2</v>
      </c>
      <c r="C74" t="s">
        <v>93</v>
      </c>
      <c r="D74" t="s">
        <v>13</v>
      </c>
      <c r="E74">
        <v>21</v>
      </c>
      <c r="F74">
        <v>0</v>
      </c>
      <c r="G74">
        <v>0</v>
      </c>
      <c r="H74">
        <v>73.5</v>
      </c>
      <c r="I74" t="s">
        <v>14</v>
      </c>
      <c r="J74" t="str">
        <f t="shared" si="3"/>
        <v>Adult</v>
      </c>
      <c r="K74" t="str">
        <f t="shared" si="4"/>
        <v>High</v>
      </c>
      <c r="L74">
        <f t="shared" si="5"/>
        <v>1</v>
      </c>
    </row>
    <row r="75" spans="1:12">
      <c r="A75">
        <v>0</v>
      </c>
      <c r="B75">
        <v>3</v>
      </c>
      <c r="C75" t="s">
        <v>94</v>
      </c>
      <c r="D75" t="s">
        <v>13</v>
      </c>
      <c r="E75">
        <v>26</v>
      </c>
      <c r="F75">
        <v>1</v>
      </c>
      <c r="G75">
        <v>0</v>
      </c>
      <c r="H75">
        <v>14.4542</v>
      </c>
      <c r="I75" t="s">
        <v>18</v>
      </c>
      <c r="J75" t="str">
        <f t="shared" si="3"/>
        <v>Adult</v>
      </c>
      <c r="K75" t="str">
        <f t="shared" si="4"/>
        <v>Low</v>
      </c>
      <c r="L75">
        <f t="shared" si="5"/>
        <v>2</v>
      </c>
    </row>
    <row r="76" spans="1:12">
      <c r="A76">
        <v>1</v>
      </c>
      <c r="B76">
        <v>3</v>
      </c>
      <c r="C76" t="s">
        <v>95</v>
      </c>
      <c r="D76" t="s">
        <v>13</v>
      </c>
      <c r="E76">
        <v>32</v>
      </c>
      <c r="F76">
        <v>0</v>
      </c>
      <c r="G76">
        <v>0</v>
      </c>
      <c r="H76">
        <v>56.495800000000003</v>
      </c>
      <c r="I76" t="s">
        <v>14</v>
      </c>
      <c r="J76" t="str">
        <f t="shared" si="3"/>
        <v>Adult</v>
      </c>
      <c r="K76" t="str">
        <f t="shared" si="4"/>
        <v>High</v>
      </c>
      <c r="L76">
        <f t="shared" si="5"/>
        <v>1</v>
      </c>
    </row>
    <row r="77" spans="1:12">
      <c r="A77">
        <v>0</v>
      </c>
      <c r="B77">
        <v>3</v>
      </c>
      <c r="C77" t="s">
        <v>96</v>
      </c>
      <c r="D77" t="s">
        <v>13</v>
      </c>
      <c r="E77">
        <v>25</v>
      </c>
      <c r="F77">
        <v>0</v>
      </c>
      <c r="G77">
        <v>0</v>
      </c>
      <c r="H77">
        <v>7.65</v>
      </c>
      <c r="I77" t="s">
        <v>14</v>
      </c>
      <c r="J77" t="str">
        <f t="shared" si="3"/>
        <v>Adult</v>
      </c>
      <c r="K77" t="str">
        <f t="shared" si="4"/>
        <v>Low</v>
      </c>
      <c r="L77">
        <f t="shared" si="5"/>
        <v>1</v>
      </c>
    </row>
    <row r="78" spans="1:12">
      <c r="A78">
        <v>0</v>
      </c>
      <c r="B78">
        <v>3</v>
      </c>
      <c r="C78" t="s">
        <v>97</v>
      </c>
      <c r="D78" t="s">
        <v>13</v>
      </c>
      <c r="F78">
        <v>0</v>
      </c>
      <c r="G78">
        <v>0</v>
      </c>
      <c r="H78">
        <v>7.8958000000000004</v>
      </c>
      <c r="I78" t="s">
        <v>14</v>
      </c>
      <c r="J78" t="str">
        <f t="shared" si="3"/>
        <v>Child</v>
      </c>
      <c r="K78" t="str">
        <f t="shared" si="4"/>
        <v>Low</v>
      </c>
      <c r="L78">
        <f t="shared" si="5"/>
        <v>1</v>
      </c>
    </row>
    <row r="79" spans="1:12">
      <c r="A79">
        <v>0</v>
      </c>
      <c r="B79">
        <v>3</v>
      </c>
      <c r="C79" t="s">
        <v>98</v>
      </c>
      <c r="D79" t="s">
        <v>13</v>
      </c>
      <c r="F79">
        <v>0</v>
      </c>
      <c r="G79">
        <v>0</v>
      </c>
      <c r="H79">
        <v>8.0500000000000007</v>
      </c>
      <c r="I79" t="s">
        <v>14</v>
      </c>
      <c r="J79" t="str">
        <f t="shared" si="3"/>
        <v>Child</v>
      </c>
      <c r="K79" t="str">
        <f t="shared" si="4"/>
        <v>Low</v>
      </c>
      <c r="L79">
        <f t="shared" si="5"/>
        <v>1</v>
      </c>
    </row>
    <row r="80" spans="1:12">
      <c r="A80">
        <v>1</v>
      </c>
      <c r="B80">
        <v>2</v>
      </c>
      <c r="C80" t="s">
        <v>99</v>
      </c>
      <c r="D80" t="s">
        <v>13</v>
      </c>
      <c r="E80">
        <v>0.83</v>
      </c>
      <c r="F80">
        <v>0</v>
      </c>
      <c r="G80">
        <v>2</v>
      </c>
      <c r="H80">
        <v>29</v>
      </c>
      <c r="I80" t="s">
        <v>14</v>
      </c>
      <c r="J80" t="str">
        <f t="shared" si="3"/>
        <v>Child</v>
      </c>
      <c r="K80" t="str">
        <f t="shared" si="4"/>
        <v>Low</v>
      </c>
      <c r="L80">
        <f t="shared" si="5"/>
        <v>3</v>
      </c>
    </row>
    <row r="81" spans="1:12">
      <c r="A81">
        <v>1</v>
      </c>
      <c r="B81">
        <v>3</v>
      </c>
      <c r="C81" t="s">
        <v>100</v>
      </c>
      <c r="D81" t="s">
        <v>17</v>
      </c>
      <c r="E81">
        <v>30</v>
      </c>
      <c r="F81">
        <v>0</v>
      </c>
      <c r="G81">
        <v>0</v>
      </c>
      <c r="H81">
        <v>12.475</v>
      </c>
      <c r="I81" t="s">
        <v>14</v>
      </c>
      <c r="J81" t="str">
        <f t="shared" si="3"/>
        <v>Adult</v>
      </c>
      <c r="K81" t="str">
        <f t="shared" si="4"/>
        <v>Low</v>
      </c>
      <c r="L81">
        <f t="shared" si="5"/>
        <v>1</v>
      </c>
    </row>
    <row r="82" spans="1:12">
      <c r="A82">
        <v>0</v>
      </c>
      <c r="B82">
        <v>3</v>
      </c>
      <c r="C82" t="s">
        <v>101</v>
      </c>
      <c r="D82" t="s">
        <v>13</v>
      </c>
      <c r="E82">
        <v>22</v>
      </c>
      <c r="F82">
        <v>0</v>
      </c>
      <c r="G82">
        <v>0</v>
      </c>
      <c r="H82">
        <v>9</v>
      </c>
      <c r="I82" t="s">
        <v>14</v>
      </c>
      <c r="J82" t="str">
        <f t="shared" si="3"/>
        <v>Adult</v>
      </c>
      <c r="K82" t="str">
        <f t="shared" si="4"/>
        <v>Low</v>
      </c>
      <c r="L82">
        <f t="shared" si="5"/>
        <v>1</v>
      </c>
    </row>
    <row r="83" spans="1:12">
      <c r="A83">
        <v>1</v>
      </c>
      <c r="B83">
        <v>3</v>
      </c>
      <c r="C83" t="s">
        <v>102</v>
      </c>
      <c r="D83" t="s">
        <v>13</v>
      </c>
      <c r="E83">
        <v>29</v>
      </c>
      <c r="F83">
        <v>0</v>
      </c>
      <c r="G83">
        <v>0</v>
      </c>
      <c r="H83">
        <v>9.5</v>
      </c>
      <c r="I83" t="s">
        <v>14</v>
      </c>
      <c r="J83" t="str">
        <f t="shared" si="3"/>
        <v>Adult</v>
      </c>
      <c r="K83" t="str">
        <f t="shared" si="4"/>
        <v>Low</v>
      </c>
      <c r="L83">
        <f t="shared" si="5"/>
        <v>1</v>
      </c>
    </row>
    <row r="84" spans="1:12">
      <c r="A84">
        <v>1</v>
      </c>
      <c r="B84">
        <v>3</v>
      </c>
      <c r="C84" t="s">
        <v>103</v>
      </c>
      <c r="D84" t="s">
        <v>17</v>
      </c>
      <c r="F84">
        <v>0</v>
      </c>
      <c r="G84">
        <v>0</v>
      </c>
      <c r="H84">
        <v>7.7874999999999996</v>
      </c>
      <c r="I84" t="s">
        <v>26</v>
      </c>
      <c r="J84" t="str">
        <f t="shared" si="3"/>
        <v>Child</v>
      </c>
      <c r="K84" t="str">
        <f t="shared" si="4"/>
        <v>Low</v>
      </c>
      <c r="L84">
        <f t="shared" si="5"/>
        <v>1</v>
      </c>
    </row>
    <row r="85" spans="1:12">
      <c r="A85">
        <v>0</v>
      </c>
      <c r="B85">
        <v>1</v>
      </c>
      <c r="C85" t="s">
        <v>104</v>
      </c>
      <c r="D85" t="s">
        <v>13</v>
      </c>
      <c r="E85">
        <v>28</v>
      </c>
      <c r="F85">
        <v>0</v>
      </c>
      <c r="G85">
        <v>0</v>
      </c>
      <c r="H85">
        <v>47.1</v>
      </c>
      <c r="I85" t="s">
        <v>14</v>
      </c>
      <c r="J85" t="str">
        <f t="shared" si="3"/>
        <v>Adult</v>
      </c>
      <c r="K85" t="str">
        <f t="shared" si="4"/>
        <v>Low</v>
      </c>
      <c r="L85">
        <f t="shared" si="5"/>
        <v>1</v>
      </c>
    </row>
    <row r="86" spans="1:12">
      <c r="A86">
        <v>1</v>
      </c>
      <c r="B86">
        <v>2</v>
      </c>
      <c r="C86" t="s">
        <v>105</v>
      </c>
      <c r="D86" t="s">
        <v>17</v>
      </c>
      <c r="E86">
        <v>17</v>
      </c>
      <c r="F86">
        <v>0</v>
      </c>
      <c r="G86">
        <v>0</v>
      </c>
      <c r="H86">
        <v>10.5</v>
      </c>
      <c r="I86" t="s">
        <v>14</v>
      </c>
      <c r="J86" t="str">
        <f t="shared" si="3"/>
        <v>Child</v>
      </c>
      <c r="K86" t="str">
        <f t="shared" si="4"/>
        <v>Low</v>
      </c>
      <c r="L86">
        <f t="shared" si="5"/>
        <v>1</v>
      </c>
    </row>
    <row r="87" spans="1:12">
      <c r="A87">
        <v>1</v>
      </c>
      <c r="B87">
        <v>3</v>
      </c>
      <c r="C87" t="s">
        <v>106</v>
      </c>
      <c r="D87" t="s">
        <v>17</v>
      </c>
      <c r="E87">
        <v>33</v>
      </c>
      <c r="F87">
        <v>3</v>
      </c>
      <c r="G87">
        <v>0</v>
      </c>
      <c r="H87">
        <v>15.85</v>
      </c>
      <c r="I87" t="s">
        <v>14</v>
      </c>
      <c r="J87" t="str">
        <f t="shared" si="3"/>
        <v>Adult</v>
      </c>
      <c r="K87" t="str">
        <f t="shared" si="4"/>
        <v>Low</v>
      </c>
      <c r="L87">
        <f t="shared" si="5"/>
        <v>4</v>
      </c>
    </row>
    <row r="88" spans="1:12">
      <c r="A88">
        <v>0</v>
      </c>
      <c r="B88">
        <v>3</v>
      </c>
      <c r="C88" t="s">
        <v>107</v>
      </c>
      <c r="D88" t="s">
        <v>13</v>
      </c>
      <c r="E88">
        <v>16</v>
      </c>
      <c r="F88">
        <v>1</v>
      </c>
      <c r="G88">
        <v>3</v>
      </c>
      <c r="H88">
        <v>34.375</v>
      </c>
      <c r="I88" t="s">
        <v>14</v>
      </c>
      <c r="J88" t="str">
        <f t="shared" si="3"/>
        <v>Child</v>
      </c>
      <c r="K88" t="str">
        <f t="shared" si="4"/>
        <v>Low</v>
      </c>
      <c r="L88">
        <f t="shared" si="5"/>
        <v>5</v>
      </c>
    </row>
    <row r="89" spans="1:12">
      <c r="A89">
        <v>0</v>
      </c>
      <c r="B89">
        <v>3</v>
      </c>
      <c r="C89" t="s">
        <v>108</v>
      </c>
      <c r="D89" t="s">
        <v>13</v>
      </c>
      <c r="F89">
        <v>0</v>
      </c>
      <c r="G89">
        <v>0</v>
      </c>
      <c r="H89">
        <v>8.0500000000000007</v>
      </c>
      <c r="I89" t="s">
        <v>14</v>
      </c>
      <c r="J89" t="str">
        <f t="shared" si="3"/>
        <v>Child</v>
      </c>
      <c r="K89" t="str">
        <f t="shared" si="4"/>
        <v>Low</v>
      </c>
      <c r="L89">
        <f t="shared" si="5"/>
        <v>1</v>
      </c>
    </row>
    <row r="90" spans="1:12">
      <c r="A90">
        <v>1</v>
      </c>
      <c r="B90">
        <v>1</v>
      </c>
      <c r="C90" t="s">
        <v>109</v>
      </c>
      <c r="D90" t="s">
        <v>17</v>
      </c>
      <c r="E90">
        <v>23</v>
      </c>
      <c r="F90">
        <v>3</v>
      </c>
      <c r="G90">
        <v>2</v>
      </c>
      <c r="H90">
        <v>263</v>
      </c>
      <c r="I90" t="s">
        <v>14</v>
      </c>
      <c r="J90" t="str">
        <f t="shared" si="3"/>
        <v>Adult</v>
      </c>
      <c r="K90" t="str">
        <f t="shared" si="4"/>
        <v>High</v>
      </c>
      <c r="L90">
        <f t="shared" si="5"/>
        <v>6</v>
      </c>
    </row>
    <row r="91" spans="1:12">
      <c r="A91">
        <v>0</v>
      </c>
      <c r="B91">
        <v>3</v>
      </c>
      <c r="C91" t="s">
        <v>110</v>
      </c>
      <c r="D91" t="s">
        <v>13</v>
      </c>
      <c r="E91">
        <v>24</v>
      </c>
      <c r="F91">
        <v>0</v>
      </c>
      <c r="G91">
        <v>0</v>
      </c>
      <c r="H91">
        <v>8.0500000000000007</v>
      </c>
      <c r="I91" t="s">
        <v>14</v>
      </c>
      <c r="J91" t="str">
        <f t="shared" si="3"/>
        <v>Adult</v>
      </c>
      <c r="K91" t="str">
        <f t="shared" si="4"/>
        <v>Low</v>
      </c>
      <c r="L91">
        <f t="shared" si="5"/>
        <v>1</v>
      </c>
    </row>
    <row r="92" spans="1:12">
      <c r="A92">
        <v>0</v>
      </c>
      <c r="B92">
        <v>3</v>
      </c>
      <c r="C92" t="s">
        <v>111</v>
      </c>
      <c r="D92" t="s">
        <v>13</v>
      </c>
      <c r="E92">
        <v>29</v>
      </c>
      <c r="F92">
        <v>0</v>
      </c>
      <c r="G92">
        <v>0</v>
      </c>
      <c r="H92">
        <v>8.0500000000000007</v>
      </c>
      <c r="I92" t="s">
        <v>14</v>
      </c>
      <c r="J92" t="str">
        <f t="shared" si="3"/>
        <v>Adult</v>
      </c>
      <c r="K92" t="str">
        <f t="shared" si="4"/>
        <v>Low</v>
      </c>
      <c r="L92">
        <f t="shared" si="5"/>
        <v>1</v>
      </c>
    </row>
    <row r="93" spans="1:12">
      <c r="A93">
        <v>0</v>
      </c>
      <c r="B93">
        <v>3</v>
      </c>
      <c r="C93" t="s">
        <v>112</v>
      </c>
      <c r="D93" t="s">
        <v>13</v>
      </c>
      <c r="E93">
        <v>20</v>
      </c>
      <c r="F93">
        <v>0</v>
      </c>
      <c r="G93">
        <v>0</v>
      </c>
      <c r="H93">
        <v>7.8541999999999996</v>
      </c>
      <c r="I93" t="s">
        <v>14</v>
      </c>
      <c r="J93" t="str">
        <f t="shared" si="3"/>
        <v>Adult</v>
      </c>
      <c r="K93" t="str">
        <f t="shared" si="4"/>
        <v>Low</v>
      </c>
      <c r="L93">
        <f t="shared" si="5"/>
        <v>1</v>
      </c>
    </row>
    <row r="94" spans="1:12">
      <c r="A94">
        <v>0</v>
      </c>
      <c r="B94">
        <v>1</v>
      </c>
      <c r="C94" t="s">
        <v>113</v>
      </c>
      <c r="D94" t="s">
        <v>13</v>
      </c>
      <c r="E94">
        <v>46</v>
      </c>
      <c r="F94">
        <v>1</v>
      </c>
      <c r="G94">
        <v>0</v>
      </c>
      <c r="H94">
        <v>61.174999999999997</v>
      </c>
      <c r="I94" t="s">
        <v>14</v>
      </c>
      <c r="J94" t="str">
        <f t="shared" si="3"/>
        <v>Adult</v>
      </c>
      <c r="K94" t="str">
        <f t="shared" si="4"/>
        <v>High</v>
      </c>
      <c r="L94">
        <f t="shared" si="5"/>
        <v>2</v>
      </c>
    </row>
    <row r="95" spans="1:12">
      <c r="A95">
        <v>0</v>
      </c>
      <c r="B95">
        <v>3</v>
      </c>
      <c r="C95" t="s">
        <v>114</v>
      </c>
      <c r="D95" t="s">
        <v>13</v>
      </c>
      <c r="E95">
        <v>26</v>
      </c>
      <c r="F95">
        <v>1</v>
      </c>
      <c r="G95">
        <v>2</v>
      </c>
      <c r="H95">
        <v>20.574999999999999</v>
      </c>
      <c r="I95" t="s">
        <v>14</v>
      </c>
      <c r="J95" t="str">
        <f t="shared" si="3"/>
        <v>Adult</v>
      </c>
      <c r="K95" t="str">
        <f t="shared" si="4"/>
        <v>Low</v>
      </c>
      <c r="L95">
        <f t="shared" si="5"/>
        <v>4</v>
      </c>
    </row>
    <row r="96" spans="1:12">
      <c r="A96">
        <v>0</v>
      </c>
      <c r="B96">
        <v>3</v>
      </c>
      <c r="C96" t="s">
        <v>115</v>
      </c>
      <c r="D96" t="s">
        <v>13</v>
      </c>
      <c r="E96">
        <v>59</v>
      </c>
      <c r="F96">
        <v>0</v>
      </c>
      <c r="G96">
        <v>0</v>
      </c>
      <c r="H96">
        <v>7.25</v>
      </c>
      <c r="I96" t="s">
        <v>14</v>
      </c>
      <c r="J96" t="str">
        <f t="shared" si="3"/>
        <v>Adult</v>
      </c>
      <c r="K96" t="str">
        <f t="shared" si="4"/>
        <v>Low</v>
      </c>
      <c r="L96">
        <f t="shared" si="5"/>
        <v>1</v>
      </c>
    </row>
    <row r="97" spans="1:12">
      <c r="A97">
        <v>0</v>
      </c>
      <c r="B97">
        <v>3</v>
      </c>
      <c r="C97" t="s">
        <v>116</v>
      </c>
      <c r="D97" t="s">
        <v>13</v>
      </c>
      <c r="F97">
        <v>0</v>
      </c>
      <c r="G97">
        <v>0</v>
      </c>
      <c r="H97">
        <v>8.0500000000000007</v>
      </c>
      <c r="I97" t="s">
        <v>14</v>
      </c>
      <c r="J97" t="str">
        <f t="shared" si="3"/>
        <v>Child</v>
      </c>
      <c r="K97" t="str">
        <f t="shared" si="4"/>
        <v>Low</v>
      </c>
      <c r="L97">
        <f t="shared" si="5"/>
        <v>1</v>
      </c>
    </row>
    <row r="98" spans="1:12">
      <c r="A98">
        <v>0</v>
      </c>
      <c r="B98">
        <v>1</v>
      </c>
      <c r="C98" t="s">
        <v>117</v>
      </c>
      <c r="D98" t="s">
        <v>13</v>
      </c>
      <c r="E98">
        <v>71</v>
      </c>
      <c r="F98">
        <v>0</v>
      </c>
      <c r="G98">
        <v>0</v>
      </c>
      <c r="H98">
        <v>34.654200000000003</v>
      </c>
      <c r="I98" t="s">
        <v>18</v>
      </c>
      <c r="J98" t="str">
        <f t="shared" si="3"/>
        <v>Adult</v>
      </c>
      <c r="K98" t="str">
        <f t="shared" si="4"/>
        <v>Low</v>
      </c>
      <c r="L98">
        <f t="shared" si="5"/>
        <v>1</v>
      </c>
    </row>
    <row r="99" spans="1:12">
      <c r="A99">
        <v>1</v>
      </c>
      <c r="B99">
        <v>1</v>
      </c>
      <c r="C99" t="s">
        <v>118</v>
      </c>
      <c r="D99" t="s">
        <v>13</v>
      </c>
      <c r="E99">
        <v>23</v>
      </c>
      <c r="F99">
        <v>0</v>
      </c>
      <c r="G99">
        <v>1</v>
      </c>
      <c r="H99">
        <v>63.3583</v>
      </c>
      <c r="I99" t="s">
        <v>18</v>
      </c>
      <c r="J99" t="str">
        <f t="shared" si="3"/>
        <v>Adult</v>
      </c>
      <c r="K99" t="str">
        <f t="shared" si="4"/>
        <v>High</v>
      </c>
      <c r="L99">
        <f t="shared" si="5"/>
        <v>2</v>
      </c>
    </row>
    <row r="100" spans="1:12">
      <c r="A100">
        <v>1</v>
      </c>
      <c r="B100">
        <v>2</v>
      </c>
      <c r="C100" t="s">
        <v>119</v>
      </c>
      <c r="D100" t="s">
        <v>17</v>
      </c>
      <c r="E100">
        <v>34</v>
      </c>
      <c r="F100">
        <v>0</v>
      </c>
      <c r="G100">
        <v>1</v>
      </c>
      <c r="H100">
        <v>23</v>
      </c>
      <c r="I100" t="s">
        <v>14</v>
      </c>
      <c r="J100" t="str">
        <f t="shared" si="3"/>
        <v>Adult</v>
      </c>
      <c r="K100" t="str">
        <f t="shared" si="4"/>
        <v>Low</v>
      </c>
      <c r="L100">
        <f t="shared" si="5"/>
        <v>2</v>
      </c>
    </row>
    <row r="101" spans="1:12">
      <c r="A101">
        <v>0</v>
      </c>
      <c r="B101">
        <v>2</v>
      </c>
      <c r="C101" t="s">
        <v>120</v>
      </c>
      <c r="D101" t="s">
        <v>13</v>
      </c>
      <c r="E101">
        <v>34</v>
      </c>
      <c r="F101">
        <v>1</v>
      </c>
      <c r="G101">
        <v>0</v>
      </c>
      <c r="H101">
        <v>26</v>
      </c>
      <c r="I101" t="s">
        <v>14</v>
      </c>
      <c r="J101" t="str">
        <f t="shared" si="3"/>
        <v>Adult</v>
      </c>
      <c r="K101" t="str">
        <f t="shared" si="4"/>
        <v>Low</v>
      </c>
      <c r="L101">
        <f t="shared" si="5"/>
        <v>2</v>
      </c>
    </row>
    <row r="102" spans="1:12">
      <c r="A102">
        <v>0</v>
      </c>
      <c r="B102">
        <v>3</v>
      </c>
      <c r="C102" t="s">
        <v>121</v>
      </c>
      <c r="D102" t="s">
        <v>17</v>
      </c>
      <c r="E102">
        <v>28</v>
      </c>
      <c r="F102">
        <v>0</v>
      </c>
      <c r="G102">
        <v>0</v>
      </c>
      <c r="H102">
        <v>7.8958000000000004</v>
      </c>
      <c r="I102" t="s">
        <v>14</v>
      </c>
      <c r="J102" t="str">
        <f t="shared" si="3"/>
        <v>Adult</v>
      </c>
      <c r="K102" t="str">
        <f t="shared" si="4"/>
        <v>Low</v>
      </c>
      <c r="L102">
        <f t="shared" si="5"/>
        <v>1</v>
      </c>
    </row>
    <row r="103" spans="1:12">
      <c r="A103">
        <v>0</v>
      </c>
      <c r="B103">
        <v>3</v>
      </c>
      <c r="C103" t="s">
        <v>122</v>
      </c>
      <c r="D103" t="s">
        <v>13</v>
      </c>
      <c r="F103">
        <v>0</v>
      </c>
      <c r="G103">
        <v>0</v>
      </c>
      <c r="H103">
        <v>7.8958000000000004</v>
      </c>
      <c r="I103" t="s">
        <v>14</v>
      </c>
      <c r="J103" t="str">
        <f t="shared" si="3"/>
        <v>Child</v>
      </c>
      <c r="K103" t="str">
        <f t="shared" si="4"/>
        <v>Low</v>
      </c>
      <c r="L103">
        <f t="shared" si="5"/>
        <v>1</v>
      </c>
    </row>
    <row r="104" spans="1:12">
      <c r="A104">
        <v>0</v>
      </c>
      <c r="B104">
        <v>1</v>
      </c>
      <c r="C104" t="s">
        <v>123</v>
      </c>
      <c r="D104" t="s">
        <v>13</v>
      </c>
      <c r="E104">
        <v>21</v>
      </c>
      <c r="F104">
        <v>0</v>
      </c>
      <c r="G104">
        <v>1</v>
      </c>
      <c r="H104">
        <v>77.287499999999994</v>
      </c>
      <c r="I104" t="s">
        <v>14</v>
      </c>
      <c r="J104" t="str">
        <f t="shared" si="3"/>
        <v>Adult</v>
      </c>
      <c r="K104" t="str">
        <f t="shared" si="4"/>
        <v>High</v>
      </c>
      <c r="L104">
        <f t="shared" si="5"/>
        <v>2</v>
      </c>
    </row>
    <row r="105" spans="1:12">
      <c r="A105">
        <v>0</v>
      </c>
      <c r="B105">
        <v>3</v>
      </c>
      <c r="C105" t="s">
        <v>124</v>
      </c>
      <c r="D105" t="s">
        <v>13</v>
      </c>
      <c r="E105">
        <v>33</v>
      </c>
      <c r="F105">
        <v>0</v>
      </c>
      <c r="G105">
        <v>0</v>
      </c>
      <c r="H105">
        <v>8.6541999999999994</v>
      </c>
      <c r="I105" t="s">
        <v>14</v>
      </c>
      <c r="J105" t="str">
        <f t="shared" si="3"/>
        <v>Adult</v>
      </c>
      <c r="K105" t="str">
        <f t="shared" si="4"/>
        <v>Low</v>
      </c>
      <c r="L105">
        <f t="shared" si="5"/>
        <v>1</v>
      </c>
    </row>
    <row r="106" spans="1:12">
      <c r="A106">
        <v>0</v>
      </c>
      <c r="B106">
        <v>3</v>
      </c>
      <c r="C106" t="s">
        <v>125</v>
      </c>
      <c r="D106" t="s">
        <v>13</v>
      </c>
      <c r="E106">
        <v>37</v>
      </c>
      <c r="F106">
        <v>2</v>
      </c>
      <c r="G106">
        <v>0</v>
      </c>
      <c r="H106">
        <v>7.9249999999999998</v>
      </c>
      <c r="I106" t="s">
        <v>14</v>
      </c>
      <c r="J106" t="str">
        <f t="shared" si="3"/>
        <v>Adult</v>
      </c>
      <c r="K106" t="str">
        <f t="shared" si="4"/>
        <v>Low</v>
      </c>
      <c r="L106">
        <f t="shared" si="5"/>
        <v>3</v>
      </c>
    </row>
    <row r="107" spans="1:12">
      <c r="A107">
        <v>0</v>
      </c>
      <c r="B107">
        <v>3</v>
      </c>
      <c r="C107" t="s">
        <v>126</v>
      </c>
      <c r="D107" t="s">
        <v>13</v>
      </c>
      <c r="E107">
        <v>28</v>
      </c>
      <c r="F107">
        <v>0</v>
      </c>
      <c r="G107">
        <v>0</v>
      </c>
      <c r="H107">
        <v>7.8958000000000004</v>
      </c>
      <c r="I107" t="s">
        <v>14</v>
      </c>
      <c r="J107" t="str">
        <f t="shared" si="3"/>
        <v>Adult</v>
      </c>
      <c r="K107" t="str">
        <f t="shared" si="4"/>
        <v>Low</v>
      </c>
      <c r="L107">
        <f t="shared" si="5"/>
        <v>1</v>
      </c>
    </row>
    <row r="108" spans="1:12">
      <c r="A108">
        <v>1</v>
      </c>
      <c r="B108">
        <v>3</v>
      </c>
      <c r="C108" t="s">
        <v>127</v>
      </c>
      <c r="D108" t="s">
        <v>17</v>
      </c>
      <c r="E108">
        <v>21</v>
      </c>
      <c r="F108">
        <v>0</v>
      </c>
      <c r="G108">
        <v>0</v>
      </c>
      <c r="H108">
        <v>7.65</v>
      </c>
      <c r="I108" t="s">
        <v>14</v>
      </c>
      <c r="J108" t="str">
        <f t="shared" si="3"/>
        <v>Adult</v>
      </c>
      <c r="K108" t="str">
        <f t="shared" si="4"/>
        <v>Low</v>
      </c>
      <c r="L108">
        <f t="shared" si="5"/>
        <v>1</v>
      </c>
    </row>
    <row r="109" spans="1:12">
      <c r="A109">
        <v>1</v>
      </c>
      <c r="B109">
        <v>3</v>
      </c>
      <c r="C109" t="s">
        <v>128</v>
      </c>
      <c r="D109" t="s">
        <v>13</v>
      </c>
      <c r="F109">
        <v>0</v>
      </c>
      <c r="G109">
        <v>0</v>
      </c>
      <c r="H109">
        <v>7.7750000000000004</v>
      </c>
      <c r="I109" t="s">
        <v>14</v>
      </c>
      <c r="J109" t="str">
        <f t="shared" si="3"/>
        <v>Child</v>
      </c>
      <c r="K109" t="str">
        <f t="shared" si="4"/>
        <v>Low</v>
      </c>
      <c r="L109">
        <f t="shared" si="5"/>
        <v>1</v>
      </c>
    </row>
    <row r="110" spans="1:12">
      <c r="A110">
        <v>0</v>
      </c>
      <c r="B110">
        <v>3</v>
      </c>
      <c r="C110" t="s">
        <v>129</v>
      </c>
      <c r="D110" t="s">
        <v>13</v>
      </c>
      <c r="E110">
        <v>38</v>
      </c>
      <c r="F110">
        <v>0</v>
      </c>
      <c r="G110">
        <v>0</v>
      </c>
      <c r="H110">
        <v>7.8958000000000004</v>
      </c>
      <c r="I110" t="s">
        <v>14</v>
      </c>
      <c r="J110" t="str">
        <f t="shared" si="3"/>
        <v>Adult</v>
      </c>
      <c r="K110" t="str">
        <f t="shared" si="4"/>
        <v>Low</v>
      </c>
      <c r="L110">
        <f t="shared" si="5"/>
        <v>1</v>
      </c>
    </row>
    <row r="111" spans="1:12">
      <c r="A111">
        <v>1</v>
      </c>
      <c r="B111">
        <v>3</v>
      </c>
      <c r="C111" t="s">
        <v>130</v>
      </c>
      <c r="D111" t="s">
        <v>17</v>
      </c>
      <c r="F111">
        <v>1</v>
      </c>
      <c r="G111">
        <v>0</v>
      </c>
      <c r="H111">
        <v>24.15</v>
      </c>
      <c r="I111" t="s">
        <v>26</v>
      </c>
      <c r="J111" t="str">
        <f t="shared" si="3"/>
        <v>Child</v>
      </c>
      <c r="K111" t="str">
        <f t="shared" si="4"/>
        <v>Low</v>
      </c>
      <c r="L111">
        <f t="shared" si="5"/>
        <v>2</v>
      </c>
    </row>
    <row r="112" spans="1:12">
      <c r="A112">
        <v>0</v>
      </c>
      <c r="B112">
        <v>1</v>
      </c>
      <c r="C112" t="s">
        <v>131</v>
      </c>
      <c r="D112" t="s">
        <v>13</v>
      </c>
      <c r="E112">
        <v>47</v>
      </c>
      <c r="F112">
        <v>0</v>
      </c>
      <c r="G112">
        <v>0</v>
      </c>
      <c r="H112">
        <v>52</v>
      </c>
      <c r="I112" t="s">
        <v>14</v>
      </c>
      <c r="J112" t="str">
        <f t="shared" si="3"/>
        <v>Adult</v>
      </c>
      <c r="K112" t="str">
        <f t="shared" si="4"/>
        <v>High</v>
      </c>
      <c r="L112">
        <f t="shared" si="5"/>
        <v>1</v>
      </c>
    </row>
    <row r="113" spans="1:12">
      <c r="A113">
        <v>0</v>
      </c>
      <c r="B113">
        <v>3</v>
      </c>
      <c r="C113" t="s">
        <v>132</v>
      </c>
      <c r="D113" t="s">
        <v>17</v>
      </c>
      <c r="E113">
        <v>14.5</v>
      </c>
      <c r="F113">
        <v>1</v>
      </c>
      <c r="G113">
        <v>0</v>
      </c>
      <c r="H113">
        <v>14.4542</v>
      </c>
      <c r="I113" t="s">
        <v>18</v>
      </c>
      <c r="J113" t="str">
        <f t="shared" si="3"/>
        <v>Child</v>
      </c>
      <c r="K113" t="str">
        <f t="shared" si="4"/>
        <v>Low</v>
      </c>
      <c r="L113">
        <f t="shared" si="5"/>
        <v>2</v>
      </c>
    </row>
    <row r="114" spans="1:12">
      <c r="A114">
        <v>0</v>
      </c>
      <c r="B114">
        <v>3</v>
      </c>
      <c r="C114" t="s">
        <v>133</v>
      </c>
      <c r="D114" t="s">
        <v>13</v>
      </c>
      <c r="E114">
        <v>22</v>
      </c>
      <c r="F114">
        <v>0</v>
      </c>
      <c r="G114">
        <v>0</v>
      </c>
      <c r="H114">
        <v>8.0500000000000007</v>
      </c>
      <c r="I114" t="s">
        <v>14</v>
      </c>
      <c r="J114" t="str">
        <f t="shared" si="3"/>
        <v>Adult</v>
      </c>
      <c r="K114" t="str">
        <f t="shared" si="4"/>
        <v>Low</v>
      </c>
      <c r="L114">
        <f t="shared" si="5"/>
        <v>1</v>
      </c>
    </row>
    <row r="115" spans="1:12">
      <c r="A115">
        <v>0</v>
      </c>
      <c r="B115">
        <v>3</v>
      </c>
      <c r="C115" t="s">
        <v>134</v>
      </c>
      <c r="D115" t="s">
        <v>17</v>
      </c>
      <c r="E115">
        <v>20</v>
      </c>
      <c r="F115">
        <v>1</v>
      </c>
      <c r="G115">
        <v>0</v>
      </c>
      <c r="H115">
        <v>9.8249999999999993</v>
      </c>
      <c r="I115" t="s">
        <v>14</v>
      </c>
      <c r="J115" t="str">
        <f t="shared" si="3"/>
        <v>Adult</v>
      </c>
      <c r="K115" t="str">
        <f t="shared" si="4"/>
        <v>Low</v>
      </c>
      <c r="L115">
        <f t="shared" si="5"/>
        <v>2</v>
      </c>
    </row>
    <row r="116" spans="1:12">
      <c r="A116">
        <v>0</v>
      </c>
      <c r="B116">
        <v>3</v>
      </c>
      <c r="C116" t="s">
        <v>135</v>
      </c>
      <c r="D116" t="s">
        <v>17</v>
      </c>
      <c r="E116">
        <v>17</v>
      </c>
      <c r="F116">
        <v>0</v>
      </c>
      <c r="G116">
        <v>0</v>
      </c>
      <c r="H116">
        <v>14.458299999999999</v>
      </c>
      <c r="I116" t="s">
        <v>18</v>
      </c>
      <c r="J116" t="str">
        <f t="shared" si="3"/>
        <v>Child</v>
      </c>
      <c r="K116" t="str">
        <f t="shared" si="4"/>
        <v>Low</v>
      </c>
      <c r="L116">
        <f t="shared" si="5"/>
        <v>1</v>
      </c>
    </row>
    <row r="117" spans="1:12">
      <c r="A117">
        <v>0</v>
      </c>
      <c r="B117">
        <v>3</v>
      </c>
      <c r="C117" t="s">
        <v>136</v>
      </c>
      <c r="D117" t="s">
        <v>13</v>
      </c>
      <c r="E117">
        <v>21</v>
      </c>
      <c r="F117">
        <v>0</v>
      </c>
      <c r="G117">
        <v>0</v>
      </c>
      <c r="H117">
        <v>7.9249999999999998</v>
      </c>
      <c r="I117" t="s">
        <v>14</v>
      </c>
      <c r="J117" t="str">
        <f t="shared" si="3"/>
        <v>Adult</v>
      </c>
      <c r="K117" t="str">
        <f t="shared" si="4"/>
        <v>Low</v>
      </c>
      <c r="L117">
        <f t="shared" si="5"/>
        <v>1</v>
      </c>
    </row>
    <row r="118" spans="1:12">
      <c r="A118">
        <v>0</v>
      </c>
      <c r="B118">
        <v>3</v>
      </c>
      <c r="C118" t="s">
        <v>137</v>
      </c>
      <c r="D118" t="s">
        <v>13</v>
      </c>
      <c r="E118">
        <v>70.5</v>
      </c>
      <c r="F118">
        <v>0</v>
      </c>
      <c r="G118">
        <v>0</v>
      </c>
      <c r="H118">
        <v>7.75</v>
      </c>
      <c r="I118" t="s">
        <v>26</v>
      </c>
      <c r="J118" t="str">
        <f t="shared" si="3"/>
        <v>Adult</v>
      </c>
      <c r="K118" t="str">
        <f t="shared" si="4"/>
        <v>Low</v>
      </c>
      <c r="L118">
        <f t="shared" si="5"/>
        <v>1</v>
      </c>
    </row>
    <row r="119" spans="1:12">
      <c r="A119">
        <v>0</v>
      </c>
      <c r="B119">
        <v>2</v>
      </c>
      <c r="C119" t="s">
        <v>138</v>
      </c>
      <c r="D119" t="s">
        <v>13</v>
      </c>
      <c r="E119">
        <v>29</v>
      </c>
      <c r="F119">
        <v>1</v>
      </c>
      <c r="G119">
        <v>0</v>
      </c>
      <c r="H119">
        <v>21</v>
      </c>
      <c r="I119" t="s">
        <v>14</v>
      </c>
      <c r="J119" t="str">
        <f t="shared" si="3"/>
        <v>Adult</v>
      </c>
      <c r="K119" t="str">
        <f t="shared" si="4"/>
        <v>Low</v>
      </c>
      <c r="L119">
        <f t="shared" si="5"/>
        <v>2</v>
      </c>
    </row>
    <row r="120" spans="1:12">
      <c r="A120">
        <v>0</v>
      </c>
      <c r="B120">
        <v>1</v>
      </c>
      <c r="C120" t="s">
        <v>139</v>
      </c>
      <c r="D120" t="s">
        <v>13</v>
      </c>
      <c r="E120">
        <v>24</v>
      </c>
      <c r="F120">
        <v>0</v>
      </c>
      <c r="G120">
        <v>1</v>
      </c>
      <c r="H120">
        <v>247.52080000000001</v>
      </c>
      <c r="I120" t="s">
        <v>18</v>
      </c>
      <c r="J120" t="str">
        <f t="shared" si="3"/>
        <v>Adult</v>
      </c>
      <c r="K120" t="str">
        <f t="shared" si="4"/>
        <v>High</v>
      </c>
      <c r="L120">
        <f t="shared" si="5"/>
        <v>2</v>
      </c>
    </row>
    <row r="121" spans="1:12">
      <c r="A121">
        <v>0</v>
      </c>
      <c r="B121">
        <v>3</v>
      </c>
      <c r="C121" t="s">
        <v>140</v>
      </c>
      <c r="D121" t="s">
        <v>17</v>
      </c>
      <c r="E121">
        <v>2</v>
      </c>
      <c r="F121">
        <v>4</v>
      </c>
      <c r="G121">
        <v>2</v>
      </c>
      <c r="H121">
        <v>31.274999999999999</v>
      </c>
      <c r="I121" t="s">
        <v>14</v>
      </c>
      <c r="J121" t="str">
        <f t="shared" si="3"/>
        <v>Child</v>
      </c>
      <c r="K121" t="str">
        <f t="shared" si="4"/>
        <v>Low</v>
      </c>
      <c r="L121">
        <f t="shared" si="5"/>
        <v>7</v>
      </c>
    </row>
    <row r="122" spans="1:12">
      <c r="A122">
        <v>0</v>
      </c>
      <c r="B122">
        <v>2</v>
      </c>
      <c r="C122" t="s">
        <v>141</v>
      </c>
      <c r="D122" t="s">
        <v>13</v>
      </c>
      <c r="E122">
        <v>21</v>
      </c>
      <c r="F122">
        <v>2</v>
      </c>
      <c r="G122">
        <v>0</v>
      </c>
      <c r="H122">
        <v>73.5</v>
      </c>
      <c r="I122" t="s">
        <v>14</v>
      </c>
      <c r="J122" t="str">
        <f t="shared" si="3"/>
        <v>Adult</v>
      </c>
      <c r="K122" t="str">
        <f t="shared" si="4"/>
        <v>High</v>
      </c>
      <c r="L122">
        <f t="shared" si="5"/>
        <v>3</v>
      </c>
    </row>
    <row r="123" spans="1:12">
      <c r="A123">
        <v>0</v>
      </c>
      <c r="B123">
        <v>3</v>
      </c>
      <c r="C123" t="s">
        <v>142</v>
      </c>
      <c r="D123" t="s">
        <v>13</v>
      </c>
      <c r="F123">
        <v>0</v>
      </c>
      <c r="G123">
        <v>0</v>
      </c>
      <c r="H123">
        <v>8.0500000000000007</v>
      </c>
      <c r="I123" t="s">
        <v>14</v>
      </c>
      <c r="J123" t="str">
        <f t="shared" si="3"/>
        <v>Child</v>
      </c>
      <c r="K123" t="str">
        <f t="shared" si="4"/>
        <v>Low</v>
      </c>
      <c r="L123">
        <f t="shared" si="5"/>
        <v>1</v>
      </c>
    </row>
    <row r="124" spans="1:12">
      <c r="A124">
        <v>0</v>
      </c>
      <c r="B124">
        <v>2</v>
      </c>
      <c r="C124" t="s">
        <v>143</v>
      </c>
      <c r="D124" t="s">
        <v>13</v>
      </c>
      <c r="E124">
        <v>32.5</v>
      </c>
      <c r="F124">
        <v>1</v>
      </c>
      <c r="G124">
        <v>0</v>
      </c>
      <c r="H124">
        <v>30.070799999999998</v>
      </c>
      <c r="I124" t="s">
        <v>18</v>
      </c>
      <c r="J124" t="str">
        <f t="shared" si="3"/>
        <v>Adult</v>
      </c>
      <c r="K124" t="str">
        <f t="shared" si="4"/>
        <v>Low</v>
      </c>
      <c r="L124">
        <f t="shared" si="5"/>
        <v>2</v>
      </c>
    </row>
    <row r="125" spans="1:12">
      <c r="A125">
        <v>1</v>
      </c>
      <c r="B125">
        <v>2</v>
      </c>
      <c r="C125" t="s">
        <v>144</v>
      </c>
      <c r="D125" t="s">
        <v>17</v>
      </c>
      <c r="E125">
        <v>32.5</v>
      </c>
      <c r="F125">
        <v>0</v>
      </c>
      <c r="G125">
        <v>0</v>
      </c>
      <c r="H125">
        <v>13</v>
      </c>
      <c r="I125" t="s">
        <v>14</v>
      </c>
      <c r="J125" t="str">
        <f t="shared" si="3"/>
        <v>Adult</v>
      </c>
      <c r="K125" t="str">
        <f t="shared" si="4"/>
        <v>Low</v>
      </c>
      <c r="L125">
        <f t="shared" si="5"/>
        <v>1</v>
      </c>
    </row>
    <row r="126" spans="1:12">
      <c r="A126">
        <v>0</v>
      </c>
      <c r="B126">
        <v>1</v>
      </c>
      <c r="C126" t="s">
        <v>145</v>
      </c>
      <c r="D126" t="s">
        <v>13</v>
      </c>
      <c r="E126">
        <v>54</v>
      </c>
      <c r="F126">
        <v>0</v>
      </c>
      <c r="G126">
        <v>1</v>
      </c>
      <c r="H126">
        <v>77.287499999999994</v>
      </c>
      <c r="I126" t="s">
        <v>14</v>
      </c>
      <c r="J126" t="str">
        <f t="shared" si="3"/>
        <v>Adult</v>
      </c>
      <c r="K126" t="str">
        <f t="shared" si="4"/>
        <v>High</v>
      </c>
      <c r="L126">
        <f t="shared" si="5"/>
        <v>2</v>
      </c>
    </row>
    <row r="127" spans="1:12">
      <c r="A127">
        <v>1</v>
      </c>
      <c r="B127">
        <v>3</v>
      </c>
      <c r="C127" t="s">
        <v>146</v>
      </c>
      <c r="D127" t="s">
        <v>13</v>
      </c>
      <c r="E127">
        <v>12</v>
      </c>
      <c r="F127">
        <v>1</v>
      </c>
      <c r="G127">
        <v>0</v>
      </c>
      <c r="H127">
        <v>11.2417</v>
      </c>
      <c r="I127" t="s">
        <v>18</v>
      </c>
      <c r="J127" t="str">
        <f t="shared" si="3"/>
        <v>Child</v>
      </c>
      <c r="K127" t="str">
        <f t="shared" si="4"/>
        <v>Low</v>
      </c>
      <c r="L127">
        <f t="shared" si="5"/>
        <v>2</v>
      </c>
    </row>
    <row r="128" spans="1:12">
      <c r="A128">
        <v>0</v>
      </c>
      <c r="B128">
        <v>3</v>
      </c>
      <c r="C128" t="s">
        <v>147</v>
      </c>
      <c r="D128" t="s">
        <v>13</v>
      </c>
      <c r="F128">
        <v>0</v>
      </c>
      <c r="G128">
        <v>0</v>
      </c>
      <c r="H128">
        <v>7.75</v>
      </c>
      <c r="I128" t="s">
        <v>26</v>
      </c>
      <c r="J128" t="str">
        <f t="shared" si="3"/>
        <v>Child</v>
      </c>
      <c r="K128" t="str">
        <f t="shared" si="4"/>
        <v>Low</v>
      </c>
      <c r="L128">
        <f t="shared" si="5"/>
        <v>1</v>
      </c>
    </row>
    <row r="129" spans="1:12">
      <c r="A129">
        <v>1</v>
      </c>
      <c r="B129">
        <v>3</v>
      </c>
      <c r="C129" t="s">
        <v>148</v>
      </c>
      <c r="D129" t="s">
        <v>13</v>
      </c>
      <c r="E129">
        <v>24</v>
      </c>
      <c r="F129">
        <v>0</v>
      </c>
      <c r="G129">
        <v>0</v>
      </c>
      <c r="H129">
        <v>7.1417000000000002</v>
      </c>
      <c r="I129" t="s">
        <v>14</v>
      </c>
      <c r="J129" t="str">
        <f t="shared" si="3"/>
        <v>Adult</v>
      </c>
      <c r="K129" t="str">
        <f t="shared" si="4"/>
        <v>Low</v>
      </c>
      <c r="L129">
        <f t="shared" si="5"/>
        <v>1</v>
      </c>
    </row>
    <row r="130" spans="1:12">
      <c r="A130">
        <v>1</v>
      </c>
      <c r="B130">
        <v>3</v>
      </c>
      <c r="C130" t="s">
        <v>149</v>
      </c>
      <c r="D130" t="s">
        <v>17</v>
      </c>
      <c r="F130">
        <v>1</v>
      </c>
      <c r="G130">
        <v>1</v>
      </c>
      <c r="H130">
        <v>22.3583</v>
      </c>
      <c r="I130" t="s">
        <v>18</v>
      </c>
      <c r="J130" t="str">
        <f t="shared" si="3"/>
        <v>Child</v>
      </c>
      <c r="K130" t="str">
        <f t="shared" si="4"/>
        <v>Low</v>
      </c>
      <c r="L130">
        <f t="shared" si="5"/>
        <v>3</v>
      </c>
    </row>
    <row r="131" spans="1:12">
      <c r="A131">
        <v>0</v>
      </c>
      <c r="B131">
        <v>3</v>
      </c>
      <c r="C131" t="s">
        <v>150</v>
      </c>
      <c r="D131" t="s">
        <v>13</v>
      </c>
      <c r="E131">
        <v>45</v>
      </c>
      <c r="F131">
        <v>0</v>
      </c>
      <c r="G131">
        <v>0</v>
      </c>
      <c r="H131">
        <v>6.9749999999999996</v>
      </c>
      <c r="I131" t="s">
        <v>14</v>
      </c>
      <c r="J131" t="str">
        <f t="shared" ref="J131:J194" si="6">IF(E131&lt;18,"Child","Adult")</f>
        <v>Adult</v>
      </c>
      <c r="K131" t="str">
        <f t="shared" ref="K131:K194" si="7">IF(H131&gt;50,"High","Low")</f>
        <v>Low</v>
      </c>
      <c r="L131">
        <f t="shared" ref="L131:L194" si="8">F131+G131+1</f>
        <v>1</v>
      </c>
    </row>
    <row r="132" spans="1:12">
      <c r="A132">
        <v>0</v>
      </c>
      <c r="B132">
        <v>3</v>
      </c>
      <c r="C132" t="s">
        <v>151</v>
      </c>
      <c r="D132" t="s">
        <v>13</v>
      </c>
      <c r="E132">
        <v>33</v>
      </c>
      <c r="F132">
        <v>0</v>
      </c>
      <c r="G132">
        <v>0</v>
      </c>
      <c r="H132">
        <v>7.8958000000000004</v>
      </c>
      <c r="I132" t="s">
        <v>18</v>
      </c>
      <c r="J132" t="str">
        <f t="shared" si="6"/>
        <v>Adult</v>
      </c>
      <c r="K132" t="str">
        <f t="shared" si="7"/>
        <v>Low</v>
      </c>
      <c r="L132">
        <f t="shared" si="8"/>
        <v>1</v>
      </c>
    </row>
    <row r="133" spans="1:12">
      <c r="A133">
        <v>0</v>
      </c>
      <c r="B133">
        <v>3</v>
      </c>
      <c r="C133" t="s">
        <v>152</v>
      </c>
      <c r="D133" t="s">
        <v>13</v>
      </c>
      <c r="E133">
        <v>20</v>
      </c>
      <c r="F133">
        <v>0</v>
      </c>
      <c r="G133">
        <v>0</v>
      </c>
      <c r="H133">
        <v>7.05</v>
      </c>
      <c r="I133" t="s">
        <v>14</v>
      </c>
      <c r="J133" t="str">
        <f t="shared" si="6"/>
        <v>Adult</v>
      </c>
      <c r="K133" t="str">
        <f t="shared" si="7"/>
        <v>Low</v>
      </c>
      <c r="L133">
        <f t="shared" si="8"/>
        <v>1</v>
      </c>
    </row>
    <row r="134" spans="1:12">
      <c r="A134">
        <v>0</v>
      </c>
      <c r="B134">
        <v>3</v>
      </c>
      <c r="C134" t="s">
        <v>153</v>
      </c>
      <c r="D134" t="s">
        <v>17</v>
      </c>
      <c r="E134">
        <v>47</v>
      </c>
      <c r="F134">
        <v>1</v>
      </c>
      <c r="G134">
        <v>0</v>
      </c>
      <c r="H134">
        <v>14.5</v>
      </c>
      <c r="I134" t="s">
        <v>14</v>
      </c>
      <c r="J134" t="str">
        <f t="shared" si="6"/>
        <v>Adult</v>
      </c>
      <c r="K134" t="str">
        <f t="shared" si="7"/>
        <v>Low</v>
      </c>
      <c r="L134">
        <f t="shared" si="8"/>
        <v>2</v>
      </c>
    </row>
    <row r="135" spans="1:12">
      <c r="A135">
        <v>1</v>
      </c>
      <c r="B135">
        <v>2</v>
      </c>
      <c r="C135" t="s">
        <v>154</v>
      </c>
      <c r="D135" t="s">
        <v>17</v>
      </c>
      <c r="E135">
        <v>29</v>
      </c>
      <c r="F135">
        <v>1</v>
      </c>
      <c r="G135">
        <v>0</v>
      </c>
      <c r="H135">
        <v>26</v>
      </c>
      <c r="I135" t="s">
        <v>14</v>
      </c>
      <c r="J135" t="str">
        <f t="shared" si="6"/>
        <v>Adult</v>
      </c>
      <c r="K135" t="str">
        <f t="shared" si="7"/>
        <v>Low</v>
      </c>
      <c r="L135">
        <f t="shared" si="8"/>
        <v>2</v>
      </c>
    </row>
    <row r="136" spans="1:12">
      <c r="A136">
        <v>0</v>
      </c>
      <c r="B136">
        <v>2</v>
      </c>
      <c r="C136" t="s">
        <v>155</v>
      </c>
      <c r="D136" t="s">
        <v>13</v>
      </c>
      <c r="E136">
        <v>25</v>
      </c>
      <c r="F136">
        <v>0</v>
      </c>
      <c r="G136">
        <v>0</v>
      </c>
      <c r="H136">
        <v>13</v>
      </c>
      <c r="I136" t="s">
        <v>14</v>
      </c>
      <c r="J136" t="str">
        <f t="shared" si="6"/>
        <v>Adult</v>
      </c>
      <c r="K136" t="str">
        <f t="shared" si="7"/>
        <v>Low</v>
      </c>
      <c r="L136">
        <f t="shared" si="8"/>
        <v>1</v>
      </c>
    </row>
    <row r="137" spans="1:12">
      <c r="A137">
        <v>0</v>
      </c>
      <c r="B137">
        <v>2</v>
      </c>
      <c r="C137" t="s">
        <v>156</v>
      </c>
      <c r="D137" t="s">
        <v>13</v>
      </c>
      <c r="E137">
        <v>23</v>
      </c>
      <c r="F137">
        <v>0</v>
      </c>
      <c r="G137">
        <v>0</v>
      </c>
      <c r="H137">
        <v>15.0458</v>
      </c>
      <c r="I137" t="s">
        <v>18</v>
      </c>
      <c r="J137" t="str">
        <f t="shared" si="6"/>
        <v>Adult</v>
      </c>
      <c r="K137" t="str">
        <f t="shared" si="7"/>
        <v>Low</v>
      </c>
      <c r="L137">
        <f t="shared" si="8"/>
        <v>1</v>
      </c>
    </row>
    <row r="138" spans="1:12">
      <c r="A138">
        <v>1</v>
      </c>
      <c r="B138">
        <v>1</v>
      </c>
      <c r="C138" t="s">
        <v>157</v>
      </c>
      <c r="D138" t="s">
        <v>17</v>
      </c>
      <c r="E138">
        <v>19</v>
      </c>
      <c r="F138">
        <v>0</v>
      </c>
      <c r="G138">
        <v>2</v>
      </c>
      <c r="H138">
        <v>26.283300000000001</v>
      </c>
      <c r="I138" t="s">
        <v>14</v>
      </c>
      <c r="J138" t="str">
        <f t="shared" si="6"/>
        <v>Adult</v>
      </c>
      <c r="K138" t="str">
        <f t="shared" si="7"/>
        <v>Low</v>
      </c>
      <c r="L138">
        <f t="shared" si="8"/>
        <v>3</v>
      </c>
    </row>
    <row r="139" spans="1:12">
      <c r="A139">
        <v>0</v>
      </c>
      <c r="B139">
        <v>1</v>
      </c>
      <c r="C139" t="s">
        <v>158</v>
      </c>
      <c r="D139" t="s">
        <v>13</v>
      </c>
      <c r="E139">
        <v>37</v>
      </c>
      <c r="F139">
        <v>1</v>
      </c>
      <c r="G139">
        <v>0</v>
      </c>
      <c r="H139">
        <v>53.1</v>
      </c>
      <c r="I139" t="s">
        <v>14</v>
      </c>
      <c r="J139" t="str">
        <f t="shared" si="6"/>
        <v>Adult</v>
      </c>
      <c r="K139" t="str">
        <f t="shared" si="7"/>
        <v>High</v>
      </c>
      <c r="L139">
        <f t="shared" si="8"/>
        <v>2</v>
      </c>
    </row>
    <row r="140" spans="1:12">
      <c r="A140">
        <v>0</v>
      </c>
      <c r="B140">
        <v>3</v>
      </c>
      <c r="C140" t="s">
        <v>159</v>
      </c>
      <c r="D140" t="s">
        <v>13</v>
      </c>
      <c r="E140">
        <v>16</v>
      </c>
      <c r="F140">
        <v>0</v>
      </c>
      <c r="G140">
        <v>0</v>
      </c>
      <c r="H140">
        <v>9.2166999999999994</v>
      </c>
      <c r="I140" t="s">
        <v>14</v>
      </c>
      <c r="J140" t="str">
        <f t="shared" si="6"/>
        <v>Child</v>
      </c>
      <c r="K140" t="str">
        <f t="shared" si="7"/>
        <v>Low</v>
      </c>
      <c r="L140">
        <f t="shared" si="8"/>
        <v>1</v>
      </c>
    </row>
    <row r="141" spans="1:12">
      <c r="A141">
        <v>0</v>
      </c>
      <c r="B141">
        <v>1</v>
      </c>
      <c r="C141" t="s">
        <v>160</v>
      </c>
      <c r="D141" t="s">
        <v>13</v>
      </c>
      <c r="E141">
        <v>24</v>
      </c>
      <c r="F141">
        <v>0</v>
      </c>
      <c r="G141">
        <v>0</v>
      </c>
      <c r="H141">
        <v>79.2</v>
      </c>
      <c r="I141" t="s">
        <v>18</v>
      </c>
      <c r="J141" t="str">
        <f t="shared" si="6"/>
        <v>Adult</v>
      </c>
      <c r="K141" t="str">
        <f t="shared" si="7"/>
        <v>High</v>
      </c>
      <c r="L141">
        <f t="shared" si="8"/>
        <v>1</v>
      </c>
    </row>
    <row r="142" spans="1:12">
      <c r="A142">
        <v>0</v>
      </c>
      <c r="B142">
        <v>3</v>
      </c>
      <c r="C142" t="s">
        <v>161</v>
      </c>
      <c r="D142" t="s">
        <v>17</v>
      </c>
      <c r="F142">
        <v>0</v>
      </c>
      <c r="G142">
        <v>2</v>
      </c>
      <c r="H142">
        <v>15.245799999999999</v>
      </c>
      <c r="I142" t="s">
        <v>18</v>
      </c>
      <c r="J142" t="str">
        <f t="shared" si="6"/>
        <v>Child</v>
      </c>
      <c r="K142" t="str">
        <f t="shared" si="7"/>
        <v>Low</v>
      </c>
      <c r="L142">
        <f t="shared" si="8"/>
        <v>3</v>
      </c>
    </row>
    <row r="143" spans="1:12">
      <c r="A143">
        <v>1</v>
      </c>
      <c r="B143">
        <v>3</v>
      </c>
      <c r="C143" t="s">
        <v>162</v>
      </c>
      <c r="D143" t="s">
        <v>17</v>
      </c>
      <c r="E143">
        <v>22</v>
      </c>
      <c r="F143">
        <v>0</v>
      </c>
      <c r="G143">
        <v>0</v>
      </c>
      <c r="H143">
        <v>7.75</v>
      </c>
      <c r="I143" t="s">
        <v>14</v>
      </c>
      <c r="J143" t="str">
        <f t="shared" si="6"/>
        <v>Adult</v>
      </c>
      <c r="K143" t="str">
        <f t="shared" si="7"/>
        <v>Low</v>
      </c>
      <c r="L143">
        <f t="shared" si="8"/>
        <v>1</v>
      </c>
    </row>
    <row r="144" spans="1:12">
      <c r="A144">
        <v>1</v>
      </c>
      <c r="B144">
        <v>3</v>
      </c>
      <c r="C144" t="s">
        <v>163</v>
      </c>
      <c r="D144" t="s">
        <v>17</v>
      </c>
      <c r="E144">
        <v>24</v>
      </c>
      <c r="F144">
        <v>1</v>
      </c>
      <c r="G144">
        <v>0</v>
      </c>
      <c r="H144">
        <v>15.85</v>
      </c>
      <c r="I144" t="s">
        <v>14</v>
      </c>
      <c r="J144" t="str">
        <f t="shared" si="6"/>
        <v>Adult</v>
      </c>
      <c r="K144" t="str">
        <f t="shared" si="7"/>
        <v>Low</v>
      </c>
      <c r="L144">
        <f t="shared" si="8"/>
        <v>2</v>
      </c>
    </row>
    <row r="145" spans="1:12">
      <c r="A145">
        <v>0</v>
      </c>
      <c r="B145">
        <v>3</v>
      </c>
      <c r="C145" t="s">
        <v>164</v>
      </c>
      <c r="D145" t="s">
        <v>13</v>
      </c>
      <c r="E145">
        <v>19</v>
      </c>
      <c r="F145">
        <v>0</v>
      </c>
      <c r="G145">
        <v>0</v>
      </c>
      <c r="H145">
        <v>6.75</v>
      </c>
      <c r="I145" t="s">
        <v>26</v>
      </c>
      <c r="J145" t="str">
        <f t="shared" si="6"/>
        <v>Adult</v>
      </c>
      <c r="K145" t="str">
        <f t="shared" si="7"/>
        <v>Low</v>
      </c>
      <c r="L145">
        <f t="shared" si="8"/>
        <v>1</v>
      </c>
    </row>
    <row r="146" spans="1:12">
      <c r="A146">
        <v>0</v>
      </c>
      <c r="B146">
        <v>2</v>
      </c>
      <c r="C146" t="s">
        <v>165</v>
      </c>
      <c r="D146" t="s">
        <v>13</v>
      </c>
      <c r="E146">
        <v>18</v>
      </c>
      <c r="F146">
        <v>0</v>
      </c>
      <c r="G146">
        <v>0</v>
      </c>
      <c r="H146">
        <v>11.5</v>
      </c>
      <c r="I146" t="s">
        <v>14</v>
      </c>
      <c r="J146" t="str">
        <f t="shared" si="6"/>
        <v>Adult</v>
      </c>
      <c r="K146" t="str">
        <f t="shared" si="7"/>
        <v>Low</v>
      </c>
      <c r="L146">
        <f t="shared" si="8"/>
        <v>1</v>
      </c>
    </row>
    <row r="147" spans="1:12">
      <c r="A147">
        <v>0</v>
      </c>
      <c r="B147">
        <v>2</v>
      </c>
      <c r="C147" t="s">
        <v>166</v>
      </c>
      <c r="D147" t="s">
        <v>13</v>
      </c>
      <c r="E147">
        <v>19</v>
      </c>
      <c r="F147">
        <v>1</v>
      </c>
      <c r="G147">
        <v>1</v>
      </c>
      <c r="H147">
        <v>36.75</v>
      </c>
      <c r="I147" t="s">
        <v>14</v>
      </c>
      <c r="J147" t="str">
        <f t="shared" si="6"/>
        <v>Adult</v>
      </c>
      <c r="K147" t="str">
        <f t="shared" si="7"/>
        <v>Low</v>
      </c>
      <c r="L147">
        <f t="shared" si="8"/>
        <v>3</v>
      </c>
    </row>
    <row r="148" spans="1:12">
      <c r="A148">
        <v>1</v>
      </c>
      <c r="B148">
        <v>3</v>
      </c>
      <c r="C148" t="s">
        <v>167</v>
      </c>
      <c r="D148" t="s">
        <v>13</v>
      </c>
      <c r="E148">
        <v>27</v>
      </c>
      <c r="F148">
        <v>0</v>
      </c>
      <c r="G148">
        <v>0</v>
      </c>
      <c r="H148">
        <v>7.7957999999999998</v>
      </c>
      <c r="I148" t="s">
        <v>14</v>
      </c>
      <c r="J148" t="str">
        <f t="shared" si="6"/>
        <v>Adult</v>
      </c>
      <c r="K148" t="str">
        <f t="shared" si="7"/>
        <v>Low</v>
      </c>
      <c r="L148">
        <f t="shared" si="8"/>
        <v>1</v>
      </c>
    </row>
    <row r="149" spans="1:12">
      <c r="A149">
        <v>0</v>
      </c>
      <c r="B149">
        <v>3</v>
      </c>
      <c r="C149" t="s">
        <v>168</v>
      </c>
      <c r="D149" t="s">
        <v>17</v>
      </c>
      <c r="E149">
        <v>9</v>
      </c>
      <c r="F149">
        <v>2</v>
      </c>
      <c r="G149">
        <v>2</v>
      </c>
      <c r="H149">
        <v>34.375</v>
      </c>
      <c r="I149" t="s">
        <v>14</v>
      </c>
      <c r="J149" t="str">
        <f t="shared" si="6"/>
        <v>Child</v>
      </c>
      <c r="K149" t="str">
        <f t="shared" si="7"/>
        <v>Low</v>
      </c>
      <c r="L149">
        <f t="shared" si="8"/>
        <v>5</v>
      </c>
    </row>
    <row r="150" spans="1:12">
      <c r="A150">
        <v>0</v>
      </c>
      <c r="B150">
        <v>2</v>
      </c>
      <c r="C150" t="s">
        <v>169</v>
      </c>
      <c r="D150" t="s">
        <v>13</v>
      </c>
      <c r="E150">
        <v>36.5</v>
      </c>
      <c r="F150">
        <v>0</v>
      </c>
      <c r="G150">
        <v>2</v>
      </c>
      <c r="H150">
        <v>26</v>
      </c>
      <c r="I150" t="s">
        <v>14</v>
      </c>
      <c r="J150" t="str">
        <f t="shared" si="6"/>
        <v>Adult</v>
      </c>
      <c r="K150" t="str">
        <f t="shared" si="7"/>
        <v>Low</v>
      </c>
      <c r="L150">
        <f t="shared" si="8"/>
        <v>3</v>
      </c>
    </row>
    <row r="151" spans="1:12">
      <c r="A151">
        <v>0</v>
      </c>
      <c r="B151">
        <v>2</v>
      </c>
      <c r="C151" t="s">
        <v>170</v>
      </c>
      <c r="D151" t="s">
        <v>13</v>
      </c>
      <c r="E151">
        <v>42</v>
      </c>
      <c r="F151">
        <v>0</v>
      </c>
      <c r="G151">
        <v>0</v>
      </c>
      <c r="H151">
        <v>13</v>
      </c>
      <c r="I151" t="s">
        <v>14</v>
      </c>
      <c r="J151" t="str">
        <f t="shared" si="6"/>
        <v>Adult</v>
      </c>
      <c r="K151" t="str">
        <f t="shared" si="7"/>
        <v>Low</v>
      </c>
      <c r="L151">
        <f t="shared" si="8"/>
        <v>1</v>
      </c>
    </row>
    <row r="152" spans="1:12">
      <c r="A152">
        <v>0</v>
      </c>
      <c r="B152">
        <v>2</v>
      </c>
      <c r="C152" t="s">
        <v>171</v>
      </c>
      <c r="D152" t="s">
        <v>13</v>
      </c>
      <c r="E152">
        <v>51</v>
      </c>
      <c r="F152">
        <v>0</v>
      </c>
      <c r="G152">
        <v>0</v>
      </c>
      <c r="H152">
        <v>12.525</v>
      </c>
      <c r="I152" t="s">
        <v>14</v>
      </c>
      <c r="J152" t="str">
        <f t="shared" si="6"/>
        <v>Adult</v>
      </c>
      <c r="K152" t="str">
        <f t="shared" si="7"/>
        <v>Low</v>
      </c>
      <c r="L152">
        <f t="shared" si="8"/>
        <v>1</v>
      </c>
    </row>
    <row r="153" spans="1:12">
      <c r="A153">
        <v>1</v>
      </c>
      <c r="B153">
        <v>1</v>
      </c>
      <c r="C153" t="s">
        <v>172</v>
      </c>
      <c r="D153" t="s">
        <v>17</v>
      </c>
      <c r="E153">
        <v>22</v>
      </c>
      <c r="F153">
        <v>1</v>
      </c>
      <c r="G153">
        <v>0</v>
      </c>
      <c r="H153">
        <v>66.599999999999994</v>
      </c>
      <c r="I153" t="s">
        <v>14</v>
      </c>
      <c r="J153" t="str">
        <f t="shared" si="6"/>
        <v>Adult</v>
      </c>
      <c r="K153" t="str">
        <f t="shared" si="7"/>
        <v>High</v>
      </c>
      <c r="L153">
        <f t="shared" si="8"/>
        <v>2</v>
      </c>
    </row>
    <row r="154" spans="1:12">
      <c r="A154">
        <v>0</v>
      </c>
      <c r="B154">
        <v>3</v>
      </c>
      <c r="C154" t="s">
        <v>173</v>
      </c>
      <c r="D154" t="s">
        <v>13</v>
      </c>
      <c r="E154">
        <v>55.5</v>
      </c>
      <c r="F154">
        <v>0</v>
      </c>
      <c r="G154">
        <v>0</v>
      </c>
      <c r="H154">
        <v>8.0500000000000007</v>
      </c>
      <c r="I154" t="s">
        <v>14</v>
      </c>
      <c r="J154" t="str">
        <f t="shared" si="6"/>
        <v>Adult</v>
      </c>
      <c r="K154" t="str">
        <f t="shared" si="7"/>
        <v>Low</v>
      </c>
      <c r="L154">
        <f t="shared" si="8"/>
        <v>1</v>
      </c>
    </row>
    <row r="155" spans="1:12">
      <c r="A155">
        <v>0</v>
      </c>
      <c r="B155">
        <v>3</v>
      </c>
      <c r="C155" t="s">
        <v>174</v>
      </c>
      <c r="D155" t="s">
        <v>13</v>
      </c>
      <c r="E155">
        <v>40.5</v>
      </c>
      <c r="F155">
        <v>0</v>
      </c>
      <c r="G155">
        <v>2</v>
      </c>
      <c r="H155">
        <v>14.5</v>
      </c>
      <c r="I155" t="s">
        <v>14</v>
      </c>
      <c r="J155" t="str">
        <f t="shared" si="6"/>
        <v>Adult</v>
      </c>
      <c r="K155" t="str">
        <f t="shared" si="7"/>
        <v>Low</v>
      </c>
      <c r="L155">
        <f t="shared" si="8"/>
        <v>3</v>
      </c>
    </row>
    <row r="156" spans="1:12">
      <c r="A156">
        <v>0</v>
      </c>
      <c r="B156">
        <v>3</v>
      </c>
      <c r="C156" t="s">
        <v>175</v>
      </c>
      <c r="D156" t="s">
        <v>13</v>
      </c>
      <c r="F156">
        <v>0</v>
      </c>
      <c r="G156">
        <v>0</v>
      </c>
      <c r="H156">
        <v>7.3125</v>
      </c>
      <c r="I156" t="s">
        <v>14</v>
      </c>
      <c r="J156" t="str">
        <f t="shared" si="6"/>
        <v>Child</v>
      </c>
      <c r="K156" t="str">
        <f t="shared" si="7"/>
        <v>Low</v>
      </c>
      <c r="L156">
        <f t="shared" si="8"/>
        <v>1</v>
      </c>
    </row>
    <row r="157" spans="1:12">
      <c r="A157">
        <v>0</v>
      </c>
      <c r="B157">
        <v>1</v>
      </c>
      <c r="C157" t="s">
        <v>176</v>
      </c>
      <c r="D157" t="s">
        <v>13</v>
      </c>
      <c r="E157">
        <v>51</v>
      </c>
      <c r="F157">
        <v>0</v>
      </c>
      <c r="G157">
        <v>1</v>
      </c>
      <c r="H157">
        <v>61.379199999999997</v>
      </c>
      <c r="I157" t="s">
        <v>18</v>
      </c>
      <c r="J157" t="str">
        <f t="shared" si="6"/>
        <v>Adult</v>
      </c>
      <c r="K157" t="str">
        <f t="shared" si="7"/>
        <v>High</v>
      </c>
      <c r="L157">
        <f t="shared" si="8"/>
        <v>2</v>
      </c>
    </row>
    <row r="158" spans="1:12">
      <c r="A158">
        <v>1</v>
      </c>
      <c r="B158">
        <v>3</v>
      </c>
      <c r="C158" t="s">
        <v>177</v>
      </c>
      <c r="D158" t="s">
        <v>17</v>
      </c>
      <c r="E158">
        <v>16</v>
      </c>
      <c r="F158">
        <v>0</v>
      </c>
      <c r="G158">
        <v>0</v>
      </c>
      <c r="H158">
        <v>7.7332999999999998</v>
      </c>
      <c r="I158" t="s">
        <v>26</v>
      </c>
      <c r="J158" t="str">
        <f t="shared" si="6"/>
        <v>Child</v>
      </c>
      <c r="K158" t="str">
        <f t="shared" si="7"/>
        <v>Low</v>
      </c>
      <c r="L158">
        <f t="shared" si="8"/>
        <v>1</v>
      </c>
    </row>
    <row r="159" spans="1:12">
      <c r="A159">
        <v>0</v>
      </c>
      <c r="B159">
        <v>3</v>
      </c>
      <c r="C159" t="s">
        <v>178</v>
      </c>
      <c r="D159" t="s">
        <v>13</v>
      </c>
      <c r="E159">
        <v>30</v>
      </c>
      <c r="F159">
        <v>0</v>
      </c>
      <c r="G159">
        <v>0</v>
      </c>
      <c r="H159">
        <v>8.0500000000000007</v>
      </c>
      <c r="I159" t="s">
        <v>14</v>
      </c>
      <c r="J159" t="str">
        <f t="shared" si="6"/>
        <v>Adult</v>
      </c>
      <c r="K159" t="str">
        <f t="shared" si="7"/>
        <v>Low</v>
      </c>
      <c r="L159">
        <f t="shared" si="8"/>
        <v>1</v>
      </c>
    </row>
    <row r="160" spans="1:12">
      <c r="A160">
        <v>0</v>
      </c>
      <c r="B160">
        <v>3</v>
      </c>
      <c r="C160" t="s">
        <v>179</v>
      </c>
      <c r="D160" t="s">
        <v>13</v>
      </c>
      <c r="F160">
        <v>0</v>
      </c>
      <c r="G160">
        <v>0</v>
      </c>
      <c r="H160">
        <v>8.6624999999999996</v>
      </c>
      <c r="I160" t="s">
        <v>14</v>
      </c>
      <c r="J160" t="str">
        <f t="shared" si="6"/>
        <v>Child</v>
      </c>
      <c r="K160" t="str">
        <f t="shared" si="7"/>
        <v>Low</v>
      </c>
      <c r="L160">
        <f t="shared" si="8"/>
        <v>1</v>
      </c>
    </row>
    <row r="161" spans="1:12">
      <c r="A161">
        <v>0</v>
      </c>
      <c r="B161">
        <v>3</v>
      </c>
      <c r="C161" t="s">
        <v>180</v>
      </c>
      <c r="D161" t="s">
        <v>13</v>
      </c>
      <c r="F161">
        <v>8</v>
      </c>
      <c r="G161">
        <v>2</v>
      </c>
      <c r="H161">
        <v>69.55</v>
      </c>
      <c r="I161" t="s">
        <v>14</v>
      </c>
      <c r="J161" t="str">
        <f t="shared" si="6"/>
        <v>Child</v>
      </c>
      <c r="K161" t="str">
        <f t="shared" si="7"/>
        <v>High</v>
      </c>
      <c r="L161">
        <f t="shared" si="8"/>
        <v>11</v>
      </c>
    </row>
    <row r="162" spans="1:12">
      <c r="A162">
        <v>0</v>
      </c>
      <c r="B162">
        <v>3</v>
      </c>
      <c r="C162" t="s">
        <v>181</v>
      </c>
      <c r="D162" t="s">
        <v>13</v>
      </c>
      <c r="E162">
        <v>44</v>
      </c>
      <c r="F162">
        <v>0</v>
      </c>
      <c r="G162">
        <v>1</v>
      </c>
      <c r="H162">
        <v>16.100000000000001</v>
      </c>
      <c r="I162" t="s">
        <v>14</v>
      </c>
      <c r="J162" t="str">
        <f t="shared" si="6"/>
        <v>Adult</v>
      </c>
      <c r="K162" t="str">
        <f t="shared" si="7"/>
        <v>Low</v>
      </c>
      <c r="L162">
        <f t="shared" si="8"/>
        <v>2</v>
      </c>
    </row>
    <row r="163" spans="1:12">
      <c r="A163">
        <v>1</v>
      </c>
      <c r="B163">
        <v>2</v>
      </c>
      <c r="C163" t="s">
        <v>182</v>
      </c>
      <c r="D163" t="s">
        <v>17</v>
      </c>
      <c r="E163">
        <v>40</v>
      </c>
      <c r="F163">
        <v>0</v>
      </c>
      <c r="G163">
        <v>0</v>
      </c>
      <c r="H163">
        <v>15.75</v>
      </c>
      <c r="I163" t="s">
        <v>14</v>
      </c>
      <c r="J163" t="str">
        <f t="shared" si="6"/>
        <v>Adult</v>
      </c>
      <c r="K163" t="str">
        <f t="shared" si="7"/>
        <v>Low</v>
      </c>
      <c r="L163">
        <f t="shared" si="8"/>
        <v>1</v>
      </c>
    </row>
    <row r="164" spans="1:12">
      <c r="A164">
        <v>0</v>
      </c>
      <c r="B164">
        <v>3</v>
      </c>
      <c r="C164" t="s">
        <v>183</v>
      </c>
      <c r="D164" t="s">
        <v>13</v>
      </c>
      <c r="E164">
        <v>26</v>
      </c>
      <c r="F164">
        <v>0</v>
      </c>
      <c r="G164">
        <v>0</v>
      </c>
      <c r="H164">
        <v>7.7750000000000004</v>
      </c>
      <c r="I164" t="s">
        <v>14</v>
      </c>
      <c r="J164" t="str">
        <f t="shared" si="6"/>
        <v>Adult</v>
      </c>
      <c r="K164" t="str">
        <f t="shared" si="7"/>
        <v>Low</v>
      </c>
      <c r="L164">
        <f t="shared" si="8"/>
        <v>1</v>
      </c>
    </row>
    <row r="165" spans="1:12">
      <c r="A165">
        <v>0</v>
      </c>
      <c r="B165">
        <v>3</v>
      </c>
      <c r="C165" t="s">
        <v>184</v>
      </c>
      <c r="D165" t="s">
        <v>13</v>
      </c>
      <c r="E165">
        <v>17</v>
      </c>
      <c r="F165">
        <v>0</v>
      </c>
      <c r="G165">
        <v>0</v>
      </c>
      <c r="H165">
        <v>8.6624999999999996</v>
      </c>
      <c r="I165" t="s">
        <v>14</v>
      </c>
      <c r="J165" t="str">
        <f t="shared" si="6"/>
        <v>Child</v>
      </c>
      <c r="K165" t="str">
        <f t="shared" si="7"/>
        <v>Low</v>
      </c>
      <c r="L165">
        <f t="shared" si="8"/>
        <v>1</v>
      </c>
    </row>
    <row r="166" spans="1:12">
      <c r="A166">
        <v>0</v>
      </c>
      <c r="B166">
        <v>3</v>
      </c>
      <c r="C166" t="s">
        <v>185</v>
      </c>
      <c r="D166" t="s">
        <v>13</v>
      </c>
      <c r="E166">
        <v>1</v>
      </c>
      <c r="F166">
        <v>4</v>
      </c>
      <c r="G166">
        <v>1</v>
      </c>
      <c r="H166">
        <v>39.6875</v>
      </c>
      <c r="I166" t="s">
        <v>14</v>
      </c>
      <c r="J166" t="str">
        <f t="shared" si="6"/>
        <v>Child</v>
      </c>
      <c r="K166" t="str">
        <f t="shared" si="7"/>
        <v>Low</v>
      </c>
      <c r="L166">
        <f t="shared" si="8"/>
        <v>6</v>
      </c>
    </row>
    <row r="167" spans="1:12">
      <c r="A167">
        <v>1</v>
      </c>
      <c r="B167">
        <v>3</v>
      </c>
      <c r="C167" t="s">
        <v>186</v>
      </c>
      <c r="D167" t="s">
        <v>13</v>
      </c>
      <c r="E167">
        <v>9</v>
      </c>
      <c r="F167">
        <v>0</v>
      </c>
      <c r="G167">
        <v>2</v>
      </c>
      <c r="H167">
        <v>20.524999999999999</v>
      </c>
      <c r="I167" t="s">
        <v>14</v>
      </c>
      <c r="J167" t="str">
        <f t="shared" si="6"/>
        <v>Child</v>
      </c>
      <c r="K167" t="str">
        <f t="shared" si="7"/>
        <v>Low</v>
      </c>
      <c r="L167">
        <f t="shared" si="8"/>
        <v>3</v>
      </c>
    </row>
    <row r="168" spans="1:12">
      <c r="A168">
        <v>1</v>
      </c>
      <c r="B168">
        <v>1</v>
      </c>
      <c r="C168" t="s">
        <v>187</v>
      </c>
      <c r="D168" t="s">
        <v>17</v>
      </c>
      <c r="F168">
        <v>0</v>
      </c>
      <c r="G168">
        <v>1</v>
      </c>
      <c r="H168">
        <v>55</v>
      </c>
      <c r="I168" t="s">
        <v>14</v>
      </c>
      <c r="J168" t="str">
        <f t="shared" si="6"/>
        <v>Child</v>
      </c>
      <c r="K168" t="str">
        <f t="shared" si="7"/>
        <v>High</v>
      </c>
      <c r="L168">
        <f t="shared" si="8"/>
        <v>2</v>
      </c>
    </row>
    <row r="169" spans="1:12">
      <c r="A169">
        <v>0</v>
      </c>
      <c r="B169">
        <v>3</v>
      </c>
      <c r="C169" t="s">
        <v>188</v>
      </c>
      <c r="D169" t="s">
        <v>17</v>
      </c>
      <c r="E169">
        <v>45</v>
      </c>
      <c r="F169">
        <v>1</v>
      </c>
      <c r="G169">
        <v>4</v>
      </c>
      <c r="H169">
        <v>27.9</v>
      </c>
      <c r="I169" t="s">
        <v>14</v>
      </c>
      <c r="J169" t="str">
        <f t="shared" si="6"/>
        <v>Adult</v>
      </c>
      <c r="K169" t="str">
        <f t="shared" si="7"/>
        <v>Low</v>
      </c>
      <c r="L169">
        <f t="shared" si="8"/>
        <v>6</v>
      </c>
    </row>
    <row r="170" spans="1:12">
      <c r="A170">
        <v>0</v>
      </c>
      <c r="B170">
        <v>1</v>
      </c>
      <c r="C170" t="s">
        <v>189</v>
      </c>
      <c r="D170" t="s">
        <v>13</v>
      </c>
      <c r="F170">
        <v>0</v>
      </c>
      <c r="G170">
        <v>0</v>
      </c>
      <c r="H170">
        <v>25.925000000000001</v>
      </c>
      <c r="I170" t="s">
        <v>14</v>
      </c>
      <c r="J170" t="str">
        <f t="shared" si="6"/>
        <v>Child</v>
      </c>
      <c r="K170" t="str">
        <f t="shared" si="7"/>
        <v>Low</v>
      </c>
      <c r="L170">
        <f t="shared" si="8"/>
        <v>1</v>
      </c>
    </row>
    <row r="171" spans="1:12">
      <c r="A171">
        <v>0</v>
      </c>
      <c r="B171">
        <v>3</v>
      </c>
      <c r="C171" t="s">
        <v>190</v>
      </c>
      <c r="D171" t="s">
        <v>13</v>
      </c>
      <c r="E171">
        <v>28</v>
      </c>
      <c r="F171">
        <v>0</v>
      </c>
      <c r="G171">
        <v>0</v>
      </c>
      <c r="H171">
        <v>56.495800000000003</v>
      </c>
      <c r="I171" t="s">
        <v>14</v>
      </c>
      <c r="J171" t="str">
        <f t="shared" si="6"/>
        <v>Adult</v>
      </c>
      <c r="K171" t="str">
        <f t="shared" si="7"/>
        <v>High</v>
      </c>
      <c r="L171">
        <f t="shared" si="8"/>
        <v>1</v>
      </c>
    </row>
    <row r="172" spans="1:12">
      <c r="A172">
        <v>0</v>
      </c>
      <c r="B172">
        <v>1</v>
      </c>
      <c r="C172" t="s">
        <v>191</v>
      </c>
      <c r="D172" t="s">
        <v>13</v>
      </c>
      <c r="E172">
        <v>61</v>
      </c>
      <c r="F172">
        <v>0</v>
      </c>
      <c r="G172">
        <v>0</v>
      </c>
      <c r="H172">
        <v>33.5</v>
      </c>
      <c r="I172" t="s">
        <v>14</v>
      </c>
      <c r="J172" t="str">
        <f t="shared" si="6"/>
        <v>Adult</v>
      </c>
      <c r="K172" t="str">
        <f t="shared" si="7"/>
        <v>Low</v>
      </c>
      <c r="L172">
        <f t="shared" si="8"/>
        <v>1</v>
      </c>
    </row>
    <row r="173" spans="1:12">
      <c r="A173">
        <v>0</v>
      </c>
      <c r="B173">
        <v>3</v>
      </c>
      <c r="C173" t="s">
        <v>192</v>
      </c>
      <c r="D173" t="s">
        <v>13</v>
      </c>
      <c r="E173">
        <v>4</v>
      </c>
      <c r="F173">
        <v>4</v>
      </c>
      <c r="G173">
        <v>1</v>
      </c>
      <c r="H173">
        <v>29.125</v>
      </c>
      <c r="I173" t="s">
        <v>26</v>
      </c>
      <c r="J173" t="str">
        <f t="shared" si="6"/>
        <v>Child</v>
      </c>
      <c r="K173" t="str">
        <f t="shared" si="7"/>
        <v>Low</v>
      </c>
      <c r="L173">
        <f t="shared" si="8"/>
        <v>6</v>
      </c>
    </row>
    <row r="174" spans="1:12">
      <c r="A174">
        <v>1</v>
      </c>
      <c r="B174">
        <v>3</v>
      </c>
      <c r="C174" t="s">
        <v>193</v>
      </c>
      <c r="D174" t="s">
        <v>17</v>
      </c>
      <c r="E174">
        <v>1</v>
      </c>
      <c r="F174">
        <v>1</v>
      </c>
      <c r="G174">
        <v>1</v>
      </c>
      <c r="H174">
        <v>11.1333</v>
      </c>
      <c r="I174" t="s">
        <v>14</v>
      </c>
      <c r="J174" t="str">
        <f t="shared" si="6"/>
        <v>Child</v>
      </c>
      <c r="K174" t="str">
        <f t="shared" si="7"/>
        <v>Low</v>
      </c>
      <c r="L174">
        <f t="shared" si="8"/>
        <v>3</v>
      </c>
    </row>
    <row r="175" spans="1:12">
      <c r="A175">
        <v>0</v>
      </c>
      <c r="B175">
        <v>3</v>
      </c>
      <c r="C175" t="s">
        <v>194</v>
      </c>
      <c r="D175" t="s">
        <v>13</v>
      </c>
      <c r="E175">
        <v>21</v>
      </c>
      <c r="F175">
        <v>0</v>
      </c>
      <c r="G175">
        <v>0</v>
      </c>
      <c r="H175">
        <v>7.9249999999999998</v>
      </c>
      <c r="I175" t="s">
        <v>14</v>
      </c>
      <c r="J175" t="str">
        <f t="shared" si="6"/>
        <v>Adult</v>
      </c>
      <c r="K175" t="str">
        <f t="shared" si="7"/>
        <v>Low</v>
      </c>
      <c r="L175">
        <f t="shared" si="8"/>
        <v>1</v>
      </c>
    </row>
    <row r="176" spans="1:12">
      <c r="A176">
        <v>0</v>
      </c>
      <c r="B176">
        <v>1</v>
      </c>
      <c r="C176" t="s">
        <v>195</v>
      </c>
      <c r="D176" t="s">
        <v>13</v>
      </c>
      <c r="E176">
        <v>56</v>
      </c>
      <c r="F176">
        <v>0</v>
      </c>
      <c r="G176">
        <v>0</v>
      </c>
      <c r="H176">
        <v>30.695799999999998</v>
      </c>
      <c r="I176" t="s">
        <v>18</v>
      </c>
      <c r="J176" t="str">
        <f t="shared" si="6"/>
        <v>Adult</v>
      </c>
      <c r="K176" t="str">
        <f t="shared" si="7"/>
        <v>Low</v>
      </c>
      <c r="L176">
        <f t="shared" si="8"/>
        <v>1</v>
      </c>
    </row>
    <row r="177" spans="1:12">
      <c r="A177">
        <v>0</v>
      </c>
      <c r="B177">
        <v>3</v>
      </c>
      <c r="C177" t="s">
        <v>196</v>
      </c>
      <c r="D177" t="s">
        <v>13</v>
      </c>
      <c r="E177">
        <v>18</v>
      </c>
      <c r="F177">
        <v>1</v>
      </c>
      <c r="G177">
        <v>1</v>
      </c>
      <c r="H177">
        <v>7.8541999999999996</v>
      </c>
      <c r="I177" t="s">
        <v>14</v>
      </c>
      <c r="J177" t="str">
        <f t="shared" si="6"/>
        <v>Adult</v>
      </c>
      <c r="K177" t="str">
        <f t="shared" si="7"/>
        <v>Low</v>
      </c>
      <c r="L177">
        <f t="shared" si="8"/>
        <v>3</v>
      </c>
    </row>
    <row r="178" spans="1:12">
      <c r="A178">
        <v>0</v>
      </c>
      <c r="B178">
        <v>3</v>
      </c>
      <c r="C178" t="s">
        <v>197</v>
      </c>
      <c r="D178" t="s">
        <v>13</v>
      </c>
      <c r="F178">
        <v>3</v>
      </c>
      <c r="G178">
        <v>1</v>
      </c>
      <c r="H178">
        <v>25.466699999999999</v>
      </c>
      <c r="I178" t="s">
        <v>14</v>
      </c>
      <c r="J178" t="str">
        <f t="shared" si="6"/>
        <v>Child</v>
      </c>
      <c r="K178" t="str">
        <f t="shared" si="7"/>
        <v>Low</v>
      </c>
      <c r="L178">
        <f t="shared" si="8"/>
        <v>5</v>
      </c>
    </row>
    <row r="179" spans="1:12">
      <c r="A179">
        <v>0</v>
      </c>
      <c r="B179">
        <v>1</v>
      </c>
      <c r="C179" t="s">
        <v>198</v>
      </c>
      <c r="D179" t="s">
        <v>17</v>
      </c>
      <c r="E179">
        <v>50</v>
      </c>
      <c r="F179">
        <v>0</v>
      </c>
      <c r="G179">
        <v>0</v>
      </c>
      <c r="H179">
        <v>28.712499999999999</v>
      </c>
      <c r="I179" t="s">
        <v>18</v>
      </c>
      <c r="J179" t="str">
        <f t="shared" si="6"/>
        <v>Adult</v>
      </c>
      <c r="K179" t="str">
        <f t="shared" si="7"/>
        <v>Low</v>
      </c>
      <c r="L179">
        <f t="shared" si="8"/>
        <v>1</v>
      </c>
    </row>
    <row r="180" spans="1:12">
      <c r="A180">
        <v>0</v>
      </c>
      <c r="B180">
        <v>2</v>
      </c>
      <c r="C180" t="s">
        <v>199</v>
      </c>
      <c r="D180" t="s">
        <v>13</v>
      </c>
      <c r="E180">
        <v>30</v>
      </c>
      <c r="F180">
        <v>0</v>
      </c>
      <c r="G180">
        <v>0</v>
      </c>
      <c r="H180">
        <v>13</v>
      </c>
      <c r="I180" t="s">
        <v>14</v>
      </c>
      <c r="J180" t="str">
        <f t="shared" si="6"/>
        <v>Adult</v>
      </c>
      <c r="K180" t="str">
        <f t="shared" si="7"/>
        <v>Low</v>
      </c>
      <c r="L180">
        <f t="shared" si="8"/>
        <v>1</v>
      </c>
    </row>
    <row r="181" spans="1:12">
      <c r="A181">
        <v>0</v>
      </c>
      <c r="B181">
        <v>3</v>
      </c>
      <c r="C181" t="s">
        <v>200</v>
      </c>
      <c r="D181" t="s">
        <v>13</v>
      </c>
      <c r="E181">
        <v>36</v>
      </c>
      <c r="F181">
        <v>0</v>
      </c>
      <c r="G181">
        <v>0</v>
      </c>
      <c r="H181">
        <v>0</v>
      </c>
      <c r="I181" t="s">
        <v>14</v>
      </c>
      <c r="J181" t="str">
        <f t="shared" si="6"/>
        <v>Adult</v>
      </c>
      <c r="K181" t="str">
        <f t="shared" si="7"/>
        <v>Low</v>
      </c>
      <c r="L181">
        <f t="shared" si="8"/>
        <v>1</v>
      </c>
    </row>
    <row r="182" spans="1:12">
      <c r="A182">
        <v>0</v>
      </c>
      <c r="B182">
        <v>3</v>
      </c>
      <c r="C182" t="s">
        <v>201</v>
      </c>
      <c r="D182" t="s">
        <v>17</v>
      </c>
      <c r="F182">
        <v>8</v>
      </c>
      <c r="G182">
        <v>2</v>
      </c>
      <c r="H182">
        <v>69.55</v>
      </c>
      <c r="I182" t="s">
        <v>14</v>
      </c>
      <c r="J182" t="str">
        <f t="shared" si="6"/>
        <v>Child</v>
      </c>
      <c r="K182" t="str">
        <f t="shared" si="7"/>
        <v>High</v>
      </c>
      <c r="L182">
        <f t="shared" si="8"/>
        <v>11</v>
      </c>
    </row>
    <row r="183" spans="1:12">
      <c r="A183">
        <v>0</v>
      </c>
      <c r="B183">
        <v>2</v>
      </c>
      <c r="C183" t="s">
        <v>202</v>
      </c>
      <c r="D183" t="s">
        <v>13</v>
      </c>
      <c r="F183">
        <v>0</v>
      </c>
      <c r="G183">
        <v>0</v>
      </c>
      <c r="H183">
        <v>15.05</v>
      </c>
      <c r="I183" t="s">
        <v>18</v>
      </c>
      <c r="J183" t="str">
        <f t="shared" si="6"/>
        <v>Child</v>
      </c>
      <c r="K183" t="str">
        <f t="shared" si="7"/>
        <v>Low</v>
      </c>
      <c r="L183">
        <f t="shared" si="8"/>
        <v>1</v>
      </c>
    </row>
    <row r="184" spans="1:12">
      <c r="A184">
        <v>0</v>
      </c>
      <c r="B184">
        <v>3</v>
      </c>
      <c r="C184" t="s">
        <v>203</v>
      </c>
      <c r="D184" t="s">
        <v>13</v>
      </c>
      <c r="E184">
        <v>9</v>
      </c>
      <c r="F184">
        <v>4</v>
      </c>
      <c r="G184">
        <v>2</v>
      </c>
      <c r="H184">
        <v>31.387499999999999</v>
      </c>
      <c r="I184" t="s">
        <v>14</v>
      </c>
      <c r="J184" t="str">
        <f t="shared" si="6"/>
        <v>Child</v>
      </c>
      <c r="K184" t="str">
        <f t="shared" si="7"/>
        <v>Low</v>
      </c>
      <c r="L184">
        <f t="shared" si="8"/>
        <v>7</v>
      </c>
    </row>
    <row r="185" spans="1:12">
      <c r="A185">
        <v>1</v>
      </c>
      <c r="B185">
        <v>2</v>
      </c>
      <c r="C185" t="s">
        <v>204</v>
      </c>
      <c r="D185" t="s">
        <v>13</v>
      </c>
      <c r="E185">
        <v>1</v>
      </c>
      <c r="F185">
        <v>2</v>
      </c>
      <c r="G185">
        <v>1</v>
      </c>
      <c r="H185">
        <v>39</v>
      </c>
      <c r="I185" t="s">
        <v>14</v>
      </c>
      <c r="J185" t="str">
        <f t="shared" si="6"/>
        <v>Child</v>
      </c>
      <c r="K185" t="str">
        <f t="shared" si="7"/>
        <v>Low</v>
      </c>
      <c r="L185">
        <f t="shared" si="8"/>
        <v>4</v>
      </c>
    </row>
    <row r="186" spans="1:12">
      <c r="A186">
        <v>1</v>
      </c>
      <c r="B186">
        <v>3</v>
      </c>
      <c r="C186" t="s">
        <v>205</v>
      </c>
      <c r="D186" t="s">
        <v>17</v>
      </c>
      <c r="E186">
        <v>4</v>
      </c>
      <c r="F186">
        <v>0</v>
      </c>
      <c r="G186">
        <v>2</v>
      </c>
      <c r="H186">
        <v>22.024999999999999</v>
      </c>
      <c r="I186" t="s">
        <v>14</v>
      </c>
      <c r="J186" t="str">
        <f t="shared" si="6"/>
        <v>Child</v>
      </c>
      <c r="K186" t="str">
        <f t="shared" si="7"/>
        <v>Low</v>
      </c>
      <c r="L186">
        <f t="shared" si="8"/>
        <v>3</v>
      </c>
    </row>
    <row r="187" spans="1:12">
      <c r="A187">
        <v>0</v>
      </c>
      <c r="B187">
        <v>1</v>
      </c>
      <c r="C187" t="s">
        <v>206</v>
      </c>
      <c r="D187" t="s">
        <v>13</v>
      </c>
      <c r="F187">
        <v>0</v>
      </c>
      <c r="G187">
        <v>0</v>
      </c>
      <c r="H187">
        <v>50</v>
      </c>
      <c r="I187" t="s">
        <v>14</v>
      </c>
      <c r="J187" t="str">
        <f t="shared" si="6"/>
        <v>Child</v>
      </c>
      <c r="K187" t="str">
        <f t="shared" si="7"/>
        <v>Low</v>
      </c>
      <c r="L187">
        <f t="shared" si="8"/>
        <v>1</v>
      </c>
    </row>
    <row r="188" spans="1:12">
      <c r="A188">
        <v>1</v>
      </c>
      <c r="B188">
        <v>3</v>
      </c>
      <c r="C188" t="s">
        <v>207</v>
      </c>
      <c r="D188" t="s">
        <v>17</v>
      </c>
      <c r="F188">
        <v>1</v>
      </c>
      <c r="G188">
        <v>0</v>
      </c>
      <c r="H188">
        <v>15.5</v>
      </c>
      <c r="I188" t="s">
        <v>26</v>
      </c>
      <c r="J188" t="str">
        <f t="shared" si="6"/>
        <v>Child</v>
      </c>
      <c r="K188" t="str">
        <f t="shared" si="7"/>
        <v>Low</v>
      </c>
      <c r="L188">
        <f t="shared" si="8"/>
        <v>2</v>
      </c>
    </row>
    <row r="189" spans="1:12">
      <c r="A189">
        <v>1</v>
      </c>
      <c r="B189">
        <v>1</v>
      </c>
      <c r="C189" t="s">
        <v>208</v>
      </c>
      <c r="D189" t="s">
        <v>13</v>
      </c>
      <c r="E189">
        <v>45</v>
      </c>
      <c r="F189">
        <v>0</v>
      </c>
      <c r="G189">
        <v>0</v>
      </c>
      <c r="H189">
        <v>26.55</v>
      </c>
      <c r="I189" t="s">
        <v>14</v>
      </c>
      <c r="J189" t="str">
        <f t="shared" si="6"/>
        <v>Adult</v>
      </c>
      <c r="K189" t="str">
        <f t="shared" si="7"/>
        <v>Low</v>
      </c>
      <c r="L189">
        <f t="shared" si="8"/>
        <v>1</v>
      </c>
    </row>
    <row r="190" spans="1:12">
      <c r="A190">
        <v>0</v>
      </c>
      <c r="B190">
        <v>3</v>
      </c>
      <c r="C190" t="s">
        <v>209</v>
      </c>
      <c r="D190" t="s">
        <v>13</v>
      </c>
      <c r="E190">
        <v>40</v>
      </c>
      <c r="F190">
        <v>1</v>
      </c>
      <c r="G190">
        <v>1</v>
      </c>
      <c r="H190">
        <v>15.5</v>
      </c>
      <c r="I190" t="s">
        <v>26</v>
      </c>
      <c r="J190" t="str">
        <f t="shared" si="6"/>
        <v>Adult</v>
      </c>
      <c r="K190" t="str">
        <f t="shared" si="7"/>
        <v>Low</v>
      </c>
      <c r="L190">
        <f t="shared" si="8"/>
        <v>3</v>
      </c>
    </row>
    <row r="191" spans="1:12">
      <c r="A191">
        <v>0</v>
      </c>
      <c r="B191">
        <v>3</v>
      </c>
      <c r="C191" t="s">
        <v>210</v>
      </c>
      <c r="D191" t="s">
        <v>13</v>
      </c>
      <c r="E191">
        <v>36</v>
      </c>
      <c r="F191">
        <v>0</v>
      </c>
      <c r="G191">
        <v>0</v>
      </c>
      <c r="H191">
        <v>7.8958000000000004</v>
      </c>
      <c r="I191" t="s">
        <v>14</v>
      </c>
      <c r="J191" t="str">
        <f t="shared" si="6"/>
        <v>Adult</v>
      </c>
      <c r="K191" t="str">
        <f t="shared" si="7"/>
        <v>Low</v>
      </c>
      <c r="L191">
        <f t="shared" si="8"/>
        <v>1</v>
      </c>
    </row>
    <row r="192" spans="1:12">
      <c r="A192">
        <v>1</v>
      </c>
      <c r="B192">
        <v>2</v>
      </c>
      <c r="C192" t="s">
        <v>211</v>
      </c>
      <c r="D192" t="s">
        <v>17</v>
      </c>
      <c r="E192">
        <v>32</v>
      </c>
      <c r="F192">
        <v>0</v>
      </c>
      <c r="G192">
        <v>0</v>
      </c>
      <c r="H192">
        <v>13</v>
      </c>
      <c r="I192" t="s">
        <v>14</v>
      </c>
      <c r="J192" t="str">
        <f t="shared" si="6"/>
        <v>Adult</v>
      </c>
      <c r="K192" t="str">
        <f t="shared" si="7"/>
        <v>Low</v>
      </c>
      <c r="L192">
        <f t="shared" si="8"/>
        <v>1</v>
      </c>
    </row>
    <row r="193" spans="1:12">
      <c r="A193">
        <v>0</v>
      </c>
      <c r="B193">
        <v>2</v>
      </c>
      <c r="C193" t="s">
        <v>212</v>
      </c>
      <c r="D193" t="s">
        <v>13</v>
      </c>
      <c r="E193">
        <v>19</v>
      </c>
      <c r="F193">
        <v>0</v>
      </c>
      <c r="G193">
        <v>0</v>
      </c>
      <c r="H193">
        <v>13</v>
      </c>
      <c r="I193" t="s">
        <v>14</v>
      </c>
      <c r="J193" t="str">
        <f t="shared" si="6"/>
        <v>Adult</v>
      </c>
      <c r="K193" t="str">
        <f t="shared" si="7"/>
        <v>Low</v>
      </c>
      <c r="L193">
        <f t="shared" si="8"/>
        <v>1</v>
      </c>
    </row>
    <row r="194" spans="1:12">
      <c r="A194">
        <v>1</v>
      </c>
      <c r="B194">
        <v>3</v>
      </c>
      <c r="C194" t="s">
        <v>213</v>
      </c>
      <c r="D194" t="s">
        <v>17</v>
      </c>
      <c r="E194">
        <v>19</v>
      </c>
      <c r="F194">
        <v>1</v>
      </c>
      <c r="G194">
        <v>0</v>
      </c>
      <c r="H194">
        <v>7.8541999999999996</v>
      </c>
      <c r="I194" t="s">
        <v>14</v>
      </c>
      <c r="J194" t="str">
        <f t="shared" si="6"/>
        <v>Adult</v>
      </c>
      <c r="K194" t="str">
        <f t="shared" si="7"/>
        <v>Low</v>
      </c>
      <c r="L194">
        <f t="shared" si="8"/>
        <v>2</v>
      </c>
    </row>
    <row r="195" spans="1:12">
      <c r="A195">
        <v>1</v>
      </c>
      <c r="B195">
        <v>2</v>
      </c>
      <c r="C195" t="s">
        <v>214</v>
      </c>
      <c r="D195" t="s">
        <v>13</v>
      </c>
      <c r="E195">
        <v>3</v>
      </c>
      <c r="F195">
        <v>1</v>
      </c>
      <c r="G195">
        <v>1</v>
      </c>
      <c r="H195">
        <v>26</v>
      </c>
      <c r="I195" t="s">
        <v>14</v>
      </c>
      <c r="J195" t="str">
        <f t="shared" ref="J195:J258" si="9">IF(E195&lt;18,"Child","Adult")</f>
        <v>Child</v>
      </c>
      <c r="K195" t="str">
        <f t="shared" ref="K195:K258" si="10">IF(H195&gt;50,"High","Low")</f>
        <v>Low</v>
      </c>
      <c r="L195">
        <f t="shared" ref="L195:L258" si="11">F195+G195+1</f>
        <v>3</v>
      </c>
    </row>
    <row r="196" spans="1:12">
      <c r="A196">
        <v>1</v>
      </c>
      <c r="B196">
        <v>1</v>
      </c>
      <c r="C196" t="s">
        <v>215</v>
      </c>
      <c r="D196" t="s">
        <v>17</v>
      </c>
      <c r="E196">
        <v>44</v>
      </c>
      <c r="F196">
        <v>0</v>
      </c>
      <c r="G196">
        <v>0</v>
      </c>
      <c r="H196">
        <v>27.720800000000001</v>
      </c>
      <c r="I196" t="s">
        <v>18</v>
      </c>
      <c r="J196" t="str">
        <f t="shared" si="9"/>
        <v>Adult</v>
      </c>
      <c r="K196" t="str">
        <f t="shared" si="10"/>
        <v>Low</v>
      </c>
      <c r="L196">
        <f t="shared" si="11"/>
        <v>1</v>
      </c>
    </row>
    <row r="197" spans="1:12">
      <c r="A197">
        <v>1</v>
      </c>
      <c r="B197">
        <v>1</v>
      </c>
      <c r="C197" t="s">
        <v>216</v>
      </c>
      <c r="D197" t="s">
        <v>17</v>
      </c>
      <c r="E197">
        <v>58</v>
      </c>
      <c r="F197">
        <v>0</v>
      </c>
      <c r="G197">
        <v>0</v>
      </c>
      <c r="H197">
        <v>146.52080000000001</v>
      </c>
      <c r="I197" t="s">
        <v>18</v>
      </c>
      <c r="J197" t="str">
        <f t="shared" si="9"/>
        <v>Adult</v>
      </c>
      <c r="K197" t="str">
        <f t="shared" si="10"/>
        <v>High</v>
      </c>
      <c r="L197">
        <f t="shared" si="11"/>
        <v>1</v>
      </c>
    </row>
    <row r="198" spans="1:12">
      <c r="A198">
        <v>0</v>
      </c>
      <c r="B198">
        <v>3</v>
      </c>
      <c r="C198" t="s">
        <v>217</v>
      </c>
      <c r="D198" t="s">
        <v>13</v>
      </c>
      <c r="F198">
        <v>0</v>
      </c>
      <c r="G198">
        <v>0</v>
      </c>
      <c r="H198">
        <v>7.75</v>
      </c>
      <c r="I198" t="s">
        <v>26</v>
      </c>
      <c r="J198" t="str">
        <f t="shared" si="9"/>
        <v>Child</v>
      </c>
      <c r="K198" t="str">
        <f t="shared" si="10"/>
        <v>Low</v>
      </c>
      <c r="L198">
        <f t="shared" si="11"/>
        <v>1</v>
      </c>
    </row>
    <row r="199" spans="1:12">
      <c r="A199">
        <v>0</v>
      </c>
      <c r="B199">
        <v>3</v>
      </c>
      <c r="C199" t="s">
        <v>218</v>
      </c>
      <c r="D199" t="s">
        <v>13</v>
      </c>
      <c r="E199">
        <v>42</v>
      </c>
      <c r="F199">
        <v>0</v>
      </c>
      <c r="G199">
        <v>1</v>
      </c>
      <c r="H199">
        <v>8.4041999999999994</v>
      </c>
      <c r="I199" t="s">
        <v>14</v>
      </c>
      <c r="J199" t="str">
        <f t="shared" si="9"/>
        <v>Adult</v>
      </c>
      <c r="K199" t="str">
        <f t="shared" si="10"/>
        <v>Low</v>
      </c>
      <c r="L199">
        <f t="shared" si="11"/>
        <v>2</v>
      </c>
    </row>
    <row r="200" spans="1:12">
      <c r="A200">
        <v>1</v>
      </c>
      <c r="B200">
        <v>3</v>
      </c>
      <c r="C200" t="s">
        <v>219</v>
      </c>
      <c r="D200" t="s">
        <v>17</v>
      </c>
      <c r="F200">
        <v>0</v>
      </c>
      <c r="G200">
        <v>0</v>
      </c>
      <c r="H200">
        <v>7.75</v>
      </c>
      <c r="I200" t="s">
        <v>26</v>
      </c>
      <c r="J200" t="str">
        <f t="shared" si="9"/>
        <v>Child</v>
      </c>
      <c r="K200" t="str">
        <f t="shared" si="10"/>
        <v>Low</v>
      </c>
      <c r="L200">
        <f t="shared" si="11"/>
        <v>1</v>
      </c>
    </row>
    <row r="201" spans="1:12">
      <c r="A201">
        <v>0</v>
      </c>
      <c r="B201">
        <v>2</v>
      </c>
      <c r="C201" t="s">
        <v>220</v>
      </c>
      <c r="D201" t="s">
        <v>17</v>
      </c>
      <c r="E201">
        <v>24</v>
      </c>
      <c r="F201">
        <v>0</v>
      </c>
      <c r="G201">
        <v>0</v>
      </c>
      <c r="H201">
        <v>13</v>
      </c>
      <c r="I201" t="s">
        <v>14</v>
      </c>
      <c r="J201" t="str">
        <f t="shared" si="9"/>
        <v>Adult</v>
      </c>
      <c r="K201" t="str">
        <f t="shared" si="10"/>
        <v>Low</v>
      </c>
      <c r="L201">
        <f t="shared" si="11"/>
        <v>1</v>
      </c>
    </row>
    <row r="202" spans="1:12">
      <c r="A202">
        <v>0</v>
      </c>
      <c r="B202">
        <v>3</v>
      </c>
      <c r="C202" t="s">
        <v>221</v>
      </c>
      <c r="D202" t="s">
        <v>13</v>
      </c>
      <c r="E202">
        <v>28</v>
      </c>
      <c r="F202">
        <v>0</v>
      </c>
      <c r="G202">
        <v>0</v>
      </c>
      <c r="H202">
        <v>9.5</v>
      </c>
      <c r="I202" t="s">
        <v>14</v>
      </c>
      <c r="J202" t="str">
        <f t="shared" si="9"/>
        <v>Adult</v>
      </c>
      <c r="K202" t="str">
        <f t="shared" si="10"/>
        <v>Low</v>
      </c>
      <c r="L202">
        <f t="shared" si="11"/>
        <v>1</v>
      </c>
    </row>
    <row r="203" spans="1:12">
      <c r="A203">
        <v>0</v>
      </c>
      <c r="B203">
        <v>3</v>
      </c>
      <c r="C203" t="s">
        <v>222</v>
      </c>
      <c r="D203" t="s">
        <v>13</v>
      </c>
      <c r="F203">
        <v>8</v>
      </c>
      <c r="G203">
        <v>2</v>
      </c>
      <c r="H203">
        <v>69.55</v>
      </c>
      <c r="I203" t="s">
        <v>14</v>
      </c>
      <c r="J203" t="str">
        <f t="shared" si="9"/>
        <v>Child</v>
      </c>
      <c r="K203" t="str">
        <f t="shared" si="10"/>
        <v>High</v>
      </c>
      <c r="L203">
        <f t="shared" si="11"/>
        <v>11</v>
      </c>
    </row>
    <row r="204" spans="1:12">
      <c r="A204">
        <v>0</v>
      </c>
      <c r="B204">
        <v>3</v>
      </c>
      <c r="C204" t="s">
        <v>223</v>
      </c>
      <c r="D204" t="s">
        <v>13</v>
      </c>
      <c r="E204">
        <v>34</v>
      </c>
      <c r="F204">
        <v>0</v>
      </c>
      <c r="G204">
        <v>0</v>
      </c>
      <c r="H204">
        <v>6.4958</v>
      </c>
      <c r="I204" t="s">
        <v>14</v>
      </c>
      <c r="J204" t="str">
        <f t="shared" si="9"/>
        <v>Adult</v>
      </c>
      <c r="K204" t="str">
        <f t="shared" si="10"/>
        <v>Low</v>
      </c>
      <c r="L204">
        <f t="shared" si="11"/>
        <v>1</v>
      </c>
    </row>
    <row r="205" spans="1:12">
      <c r="A205">
        <v>0</v>
      </c>
      <c r="B205">
        <v>3</v>
      </c>
      <c r="C205" t="s">
        <v>224</v>
      </c>
      <c r="D205" t="s">
        <v>13</v>
      </c>
      <c r="E205">
        <v>45.5</v>
      </c>
      <c r="F205">
        <v>0</v>
      </c>
      <c r="G205">
        <v>0</v>
      </c>
      <c r="H205">
        <v>7.2249999999999996</v>
      </c>
      <c r="I205" t="s">
        <v>18</v>
      </c>
      <c r="J205" t="str">
        <f t="shared" si="9"/>
        <v>Adult</v>
      </c>
      <c r="K205" t="str">
        <f t="shared" si="10"/>
        <v>Low</v>
      </c>
      <c r="L205">
        <f t="shared" si="11"/>
        <v>1</v>
      </c>
    </row>
    <row r="206" spans="1:12">
      <c r="A206">
        <v>1</v>
      </c>
      <c r="B206">
        <v>3</v>
      </c>
      <c r="C206" t="s">
        <v>225</v>
      </c>
      <c r="D206" t="s">
        <v>13</v>
      </c>
      <c r="E206">
        <v>18</v>
      </c>
      <c r="F206">
        <v>0</v>
      </c>
      <c r="G206">
        <v>0</v>
      </c>
      <c r="H206">
        <v>8.0500000000000007</v>
      </c>
      <c r="I206" t="s">
        <v>14</v>
      </c>
      <c r="J206" t="str">
        <f t="shared" si="9"/>
        <v>Adult</v>
      </c>
      <c r="K206" t="str">
        <f t="shared" si="10"/>
        <v>Low</v>
      </c>
      <c r="L206">
        <f t="shared" si="11"/>
        <v>1</v>
      </c>
    </row>
    <row r="207" spans="1:12">
      <c r="A207">
        <v>0</v>
      </c>
      <c r="B207">
        <v>3</v>
      </c>
      <c r="C207" t="s">
        <v>226</v>
      </c>
      <c r="D207" t="s">
        <v>17</v>
      </c>
      <c r="E207">
        <v>2</v>
      </c>
      <c r="F207">
        <v>0</v>
      </c>
      <c r="G207">
        <v>1</v>
      </c>
      <c r="H207">
        <v>10.4625</v>
      </c>
      <c r="I207" t="s">
        <v>14</v>
      </c>
      <c r="J207" t="str">
        <f t="shared" si="9"/>
        <v>Child</v>
      </c>
      <c r="K207" t="str">
        <f t="shared" si="10"/>
        <v>Low</v>
      </c>
      <c r="L207">
        <f t="shared" si="11"/>
        <v>2</v>
      </c>
    </row>
    <row r="208" spans="1:12">
      <c r="A208">
        <v>0</v>
      </c>
      <c r="B208">
        <v>3</v>
      </c>
      <c r="C208" t="s">
        <v>227</v>
      </c>
      <c r="D208" t="s">
        <v>13</v>
      </c>
      <c r="E208">
        <v>32</v>
      </c>
      <c r="F208">
        <v>1</v>
      </c>
      <c r="G208">
        <v>0</v>
      </c>
      <c r="H208">
        <v>15.85</v>
      </c>
      <c r="I208" t="s">
        <v>14</v>
      </c>
      <c r="J208" t="str">
        <f t="shared" si="9"/>
        <v>Adult</v>
      </c>
      <c r="K208" t="str">
        <f t="shared" si="10"/>
        <v>Low</v>
      </c>
      <c r="L208">
        <f t="shared" si="11"/>
        <v>2</v>
      </c>
    </row>
    <row r="209" spans="1:12">
      <c r="A209">
        <v>1</v>
      </c>
      <c r="B209">
        <v>3</v>
      </c>
      <c r="C209" t="s">
        <v>228</v>
      </c>
      <c r="D209" t="s">
        <v>13</v>
      </c>
      <c r="E209">
        <v>26</v>
      </c>
      <c r="F209">
        <v>0</v>
      </c>
      <c r="G209">
        <v>0</v>
      </c>
      <c r="H209">
        <v>18.787500000000001</v>
      </c>
      <c r="I209" t="s">
        <v>18</v>
      </c>
      <c r="J209" t="str">
        <f t="shared" si="9"/>
        <v>Adult</v>
      </c>
      <c r="K209" t="str">
        <f t="shared" si="10"/>
        <v>Low</v>
      </c>
      <c r="L209">
        <f t="shared" si="11"/>
        <v>1</v>
      </c>
    </row>
    <row r="210" spans="1:12">
      <c r="A210">
        <v>1</v>
      </c>
      <c r="B210">
        <v>3</v>
      </c>
      <c r="C210" t="s">
        <v>229</v>
      </c>
      <c r="D210" t="s">
        <v>17</v>
      </c>
      <c r="E210">
        <v>16</v>
      </c>
      <c r="F210">
        <v>0</v>
      </c>
      <c r="G210">
        <v>0</v>
      </c>
      <c r="H210">
        <v>7.75</v>
      </c>
      <c r="I210" t="s">
        <v>26</v>
      </c>
      <c r="J210" t="str">
        <f t="shared" si="9"/>
        <v>Child</v>
      </c>
      <c r="K210" t="str">
        <f t="shared" si="10"/>
        <v>Low</v>
      </c>
      <c r="L210">
        <f t="shared" si="11"/>
        <v>1</v>
      </c>
    </row>
    <row r="211" spans="1:12">
      <c r="A211">
        <v>1</v>
      </c>
      <c r="B211">
        <v>1</v>
      </c>
      <c r="C211" t="s">
        <v>230</v>
      </c>
      <c r="D211" t="s">
        <v>13</v>
      </c>
      <c r="E211">
        <v>40</v>
      </c>
      <c r="F211">
        <v>0</v>
      </c>
      <c r="G211">
        <v>0</v>
      </c>
      <c r="H211">
        <v>31</v>
      </c>
      <c r="I211" t="s">
        <v>18</v>
      </c>
      <c r="J211" t="str">
        <f t="shared" si="9"/>
        <v>Adult</v>
      </c>
      <c r="K211" t="str">
        <f t="shared" si="10"/>
        <v>Low</v>
      </c>
      <c r="L211">
        <f t="shared" si="11"/>
        <v>1</v>
      </c>
    </row>
    <row r="212" spans="1:12">
      <c r="A212">
        <v>0</v>
      </c>
      <c r="B212">
        <v>3</v>
      </c>
      <c r="C212" t="s">
        <v>231</v>
      </c>
      <c r="D212" t="s">
        <v>13</v>
      </c>
      <c r="E212">
        <v>24</v>
      </c>
      <c r="F212">
        <v>0</v>
      </c>
      <c r="G212">
        <v>0</v>
      </c>
      <c r="H212">
        <v>7.05</v>
      </c>
      <c r="I212" t="s">
        <v>14</v>
      </c>
      <c r="J212" t="str">
        <f t="shared" si="9"/>
        <v>Adult</v>
      </c>
      <c r="K212" t="str">
        <f t="shared" si="10"/>
        <v>Low</v>
      </c>
      <c r="L212">
        <f t="shared" si="11"/>
        <v>1</v>
      </c>
    </row>
    <row r="213" spans="1:12">
      <c r="A213">
        <v>1</v>
      </c>
      <c r="B213">
        <v>2</v>
      </c>
      <c r="C213" t="s">
        <v>232</v>
      </c>
      <c r="D213" t="s">
        <v>17</v>
      </c>
      <c r="E213">
        <v>35</v>
      </c>
      <c r="F213">
        <v>0</v>
      </c>
      <c r="G213">
        <v>0</v>
      </c>
      <c r="H213">
        <v>21</v>
      </c>
      <c r="I213" t="s">
        <v>14</v>
      </c>
      <c r="J213" t="str">
        <f t="shared" si="9"/>
        <v>Adult</v>
      </c>
      <c r="K213" t="str">
        <f t="shared" si="10"/>
        <v>Low</v>
      </c>
      <c r="L213">
        <f t="shared" si="11"/>
        <v>1</v>
      </c>
    </row>
    <row r="214" spans="1:12">
      <c r="A214">
        <v>0</v>
      </c>
      <c r="B214">
        <v>3</v>
      </c>
      <c r="C214" t="s">
        <v>233</v>
      </c>
      <c r="D214" t="s">
        <v>13</v>
      </c>
      <c r="E214">
        <v>22</v>
      </c>
      <c r="F214">
        <v>0</v>
      </c>
      <c r="G214">
        <v>0</v>
      </c>
      <c r="H214">
        <v>7.25</v>
      </c>
      <c r="I214" t="s">
        <v>14</v>
      </c>
      <c r="J214" t="str">
        <f t="shared" si="9"/>
        <v>Adult</v>
      </c>
      <c r="K214" t="str">
        <f t="shared" si="10"/>
        <v>Low</v>
      </c>
      <c r="L214">
        <f t="shared" si="11"/>
        <v>1</v>
      </c>
    </row>
    <row r="215" spans="1:12">
      <c r="A215">
        <v>0</v>
      </c>
      <c r="B215">
        <v>2</v>
      </c>
      <c r="C215" t="s">
        <v>234</v>
      </c>
      <c r="D215" t="s">
        <v>13</v>
      </c>
      <c r="E215">
        <v>30</v>
      </c>
      <c r="F215">
        <v>0</v>
      </c>
      <c r="G215">
        <v>0</v>
      </c>
      <c r="H215">
        <v>13</v>
      </c>
      <c r="I215" t="s">
        <v>14</v>
      </c>
      <c r="J215" t="str">
        <f t="shared" si="9"/>
        <v>Adult</v>
      </c>
      <c r="K215" t="str">
        <f t="shared" si="10"/>
        <v>Low</v>
      </c>
      <c r="L215">
        <f t="shared" si="11"/>
        <v>1</v>
      </c>
    </row>
    <row r="216" spans="1:12">
      <c r="A216">
        <v>0</v>
      </c>
      <c r="B216">
        <v>3</v>
      </c>
      <c r="C216" t="s">
        <v>235</v>
      </c>
      <c r="D216" t="s">
        <v>13</v>
      </c>
      <c r="F216">
        <v>1</v>
      </c>
      <c r="G216">
        <v>0</v>
      </c>
      <c r="H216">
        <v>7.75</v>
      </c>
      <c r="I216" t="s">
        <v>26</v>
      </c>
      <c r="J216" t="str">
        <f t="shared" si="9"/>
        <v>Child</v>
      </c>
      <c r="K216" t="str">
        <f t="shared" si="10"/>
        <v>Low</v>
      </c>
      <c r="L216">
        <f t="shared" si="11"/>
        <v>2</v>
      </c>
    </row>
    <row r="217" spans="1:12">
      <c r="A217">
        <v>1</v>
      </c>
      <c r="B217">
        <v>1</v>
      </c>
      <c r="C217" t="s">
        <v>236</v>
      </c>
      <c r="D217" t="s">
        <v>17</v>
      </c>
      <c r="E217">
        <v>31</v>
      </c>
      <c r="F217">
        <v>1</v>
      </c>
      <c r="G217">
        <v>0</v>
      </c>
      <c r="H217">
        <v>113.27500000000001</v>
      </c>
      <c r="I217" t="s">
        <v>18</v>
      </c>
      <c r="J217" t="str">
        <f t="shared" si="9"/>
        <v>Adult</v>
      </c>
      <c r="K217" t="str">
        <f t="shared" si="10"/>
        <v>High</v>
      </c>
      <c r="L217">
        <f t="shared" si="11"/>
        <v>2</v>
      </c>
    </row>
    <row r="218" spans="1:12">
      <c r="A218">
        <v>1</v>
      </c>
      <c r="B218">
        <v>3</v>
      </c>
      <c r="C218" t="s">
        <v>237</v>
      </c>
      <c r="D218" t="s">
        <v>17</v>
      </c>
      <c r="E218">
        <v>27</v>
      </c>
      <c r="F218">
        <v>0</v>
      </c>
      <c r="G218">
        <v>0</v>
      </c>
      <c r="H218">
        <v>7.9249999999999998</v>
      </c>
      <c r="I218" t="s">
        <v>14</v>
      </c>
      <c r="J218" t="str">
        <f t="shared" si="9"/>
        <v>Adult</v>
      </c>
      <c r="K218" t="str">
        <f t="shared" si="10"/>
        <v>Low</v>
      </c>
      <c r="L218">
        <f t="shared" si="11"/>
        <v>1</v>
      </c>
    </row>
    <row r="219" spans="1:12">
      <c r="A219">
        <v>0</v>
      </c>
      <c r="B219">
        <v>2</v>
      </c>
      <c r="C219" t="s">
        <v>238</v>
      </c>
      <c r="D219" t="s">
        <v>13</v>
      </c>
      <c r="E219">
        <v>42</v>
      </c>
      <c r="F219">
        <v>1</v>
      </c>
      <c r="G219">
        <v>0</v>
      </c>
      <c r="H219">
        <v>27</v>
      </c>
      <c r="I219" t="s">
        <v>14</v>
      </c>
      <c r="J219" t="str">
        <f t="shared" si="9"/>
        <v>Adult</v>
      </c>
      <c r="K219" t="str">
        <f t="shared" si="10"/>
        <v>Low</v>
      </c>
      <c r="L219">
        <f t="shared" si="11"/>
        <v>2</v>
      </c>
    </row>
    <row r="220" spans="1:12">
      <c r="A220">
        <v>1</v>
      </c>
      <c r="B220">
        <v>1</v>
      </c>
      <c r="C220" t="s">
        <v>239</v>
      </c>
      <c r="D220" t="s">
        <v>17</v>
      </c>
      <c r="E220">
        <v>32</v>
      </c>
      <c r="F220">
        <v>0</v>
      </c>
      <c r="G220">
        <v>0</v>
      </c>
      <c r="H220">
        <v>76.291700000000006</v>
      </c>
      <c r="I220" t="s">
        <v>18</v>
      </c>
      <c r="J220" t="str">
        <f t="shared" si="9"/>
        <v>Adult</v>
      </c>
      <c r="K220" t="str">
        <f t="shared" si="10"/>
        <v>High</v>
      </c>
      <c r="L220">
        <f t="shared" si="11"/>
        <v>1</v>
      </c>
    </row>
    <row r="221" spans="1:12">
      <c r="A221">
        <v>0</v>
      </c>
      <c r="B221">
        <v>2</v>
      </c>
      <c r="C221" t="s">
        <v>240</v>
      </c>
      <c r="D221" t="s">
        <v>13</v>
      </c>
      <c r="E221">
        <v>30</v>
      </c>
      <c r="F221">
        <v>0</v>
      </c>
      <c r="G221">
        <v>0</v>
      </c>
      <c r="H221">
        <v>10.5</v>
      </c>
      <c r="I221" t="s">
        <v>14</v>
      </c>
      <c r="J221" t="str">
        <f t="shared" si="9"/>
        <v>Adult</v>
      </c>
      <c r="K221" t="str">
        <f t="shared" si="10"/>
        <v>Low</v>
      </c>
      <c r="L221">
        <f t="shared" si="11"/>
        <v>1</v>
      </c>
    </row>
    <row r="222" spans="1:12">
      <c r="A222">
        <v>1</v>
      </c>
      <c r="B222">
        <v>3</v>
      </c>
      <c r="C222" t="s">
        <v>241</v>
      </c>
      <c r="D222" t="s">
        <v>13</v>
      </c>
      <c r="E222">
        <v>16</v>
      </c>
      <c r="F222">
        <v>0</v>
      </c>
      <c r="G222">
        <v>0</v>
      </c>
      <c r="H222">
        <v>8.0500000000000007</v>
      </c>
      <c r="I222" t="s">
        <v>14</v>
      </c>
      <c r="J222" t="str">
        <f t="shared" si="9"/>
        <v>Child</v>
      </c>
      <c r="K222" t="str">
        <f t="shared" si="10"/>
        <v>Low</v>
      </c>
      <c r="L222">
        <f t="shared" si="11"/>
        <v>1</v>
      </c>
    </row>
    <row r="223" spans="1:12">
      <c r="A223">
        <v>0</v>
      </c>
      <c r="B223">
        <v>2</v>
      </c>
      <c r="C223" t="s">
        <v>242</v>
      </c>
      <c r="D223" t="s">
        <v>13</v>
      </c>
      <c r="E223">
        <v>27</v>
      </c>
      <c r="F223">
        <v>0</v>
      </c>
      <c r="G223">
        <v>0</v>
      </c>
      <c r="H223">
        <v>13</v>
      </c>
      <c r="I223" t="s">
        <v>14</v>
      </c>
      <c r="J223" t="str">
        <f t="shared" si="9"/>
        <v>Adult</v>
      </c>
      <c r="K223" t="str">
        <f t="shared" si="10"/>
        <v>Low</v>
      </c>
      <c r="L223">
        <f t="shared" si="11"/>
        <v>1</v>
      </c>
    </row>
    <row r="224" spans="1:12">
      <c r="A224">
        <v>0</v>
      </c>
      <c r="B224">
        <v>3</v>
      </c>
      <c r="C224" t="s">
        <v>243</v>
      </c>
      <c r="D224" t="s">
        <v>13</v>
      </c>
      <c r="E224">
        <v>51</v>
      </c>
      <c r="F224">
        <v>0</v>
      </c>
      <c r="G224">
        <v>0</v>
      </c>
      <c r="H224">
        <v>8.0500000000000007</v>
      </c>
      <c r="I224" t="s">
        <v>14</v>
      </c>
      <c r="J224" t="str">
        <f t="shared" si="9"/>
        <v>Adult</v>
      </c>
      <c r="K224" t="str">
        <f t="shared" si="10"/>
        <v>Low</v>
      </c>
      <c r="L224">
        <f t="shared" si="11"/>
        <v>1</v>
      </c>
    </row>
    <row r="225" spans="1:12">
      <c r="A225">
        <v>0</v>
      </c>
      <c r="B225">
        <v>3</v>
      </c>
      <c r="C225" t="s">
        <v>244</v>
      </c>
      <c r="D225" t="s">
        <v>13</v>
      </c>
      <c r="F225">
        <v>0</v>
      </c>
      <c r="G225">
        <v>0</v>
      </c>
      <c r="H225">
        <v>7.8958000000000004</v>
      </c>
      <c r="I225" t="s">
        <v>14</v>
      </c>
      <c r="J225" t="str">
        <f t="shared" si="9"/>
        <v>Child</v>
      </c>
      <c r="K225" t="str">
        <f t="shared" si="10"/>
        <v>Low</v>
      </c>
      <c r="L225">
        <f t="shared" si="11"/>
        <v>1</v>
      </c>
    </row>
    <row r="226" spans="1:12">
      <c r="A226">
        <v>1</v>
      </c>
      <c r="B226">
        <v>1</v>
      </c>
      <c r="C226" t="s">
        <v>245</v>
      </c>
      <c r="D226" t="s">
        <v>13</v>
      </c>
      <c r="E226">
        <v>38</v>
      </c>
      <c r="F226">
        <v>1</v>
      </c>
      <c r="G226">
        <v>0</v>
      </c>
      <c r="H226">
        <v>90</v>
      </c>
      <c r="I226" t="s">
        <v>14</v>
      </c>
      <c r="J226" t="str">
        <f t="shared" si="9"/>
        <v>Adult</v>
      </c>
      <c r="K226" t="str">
        <f t="shared" si="10"/>
        <v>High</v>
      </c>
      <c r="L226">
        <f t="shared" si="11"/>
        <v>2</v>
      </c>
    </row>
    <row r="227" spans="1:12">
      <c r="A227">
        <v>0</v>
      </c>
      <c r="B227">
        <v>3</v>
      </c>
      <c r="C227" t="s">
        <v>246</v>
      </c>
      <c r="D227" t="s">
        <v>13</v>
      </c>
      <c r="E227">
        <v>22</v>
      </c>
      <c r="F227">
        <v>0</v>
      </c>
      <c r="G227">
        <v>0</v>
      </c>
      <c r="H227">
        <v>9.35</v>
      </c>
      <c r="I227" t="s">
        <v>14</v>
      </c>
      <c r="J227" t="str">
        <f t="shared" si="9"/>
        <v>Adult</v>
      </c>
      <c r="K227" t="str">
        <f t="shared" si="10"/>
        <v>Low</v>
      </c>
      <c r="L227">
        <f t="shared" si="11"/>
        <v>1</v>
      </c>
    </row>
    <row r="228" spans="1:12">
      <c r="A228">
        <v>1</v>
      </c>
      <c r="B228">
        <v>2</v>
      </c>
      <c r="C228" t="s">
        <v>247</v>
      </c>
      <c r="D228" t="s">
        <v>13</v>
      </c>
      <c r="E228">
        <v>19</v>
      </c>
      <c r="F228">
        <v>0</v>
      </c>
      <c r="G228">
        <v>0</v>
      </c>
      <c r="H228">
        <v>10.5</v>
      </c>
      <c r="I228" t="s">
        <v>14</v>
      </c>
      <c r="J228" t="str">
        <f t="shared" si="9"/>
        <v>Adult</v>
      </c>
      <c r="K228" t="str">
        <f t="shared" si="10"/>
        <v>Low</v>
      </c>
      <c r="L228">
        <f t="shared" si="11"/>
        <v>1</v>
      </c>
    </row>
    <row r="229" spans="1:12">
      <c r="A229">
        <v>0</v>
      </c>
      <c r="B229">
        <v>3</v>
      </c>
      <c r="C229" t="s">
        <v>248</v>
      </c>
      <c r="D229" t="s">
        <v>13</v>
      </c>
      <c r="E229">
        <v>20.5</v>
      </c>
      <c r="F229">
        <v>0</v>
      </c>
      <c r="G229">
        <v>0</v>
      </c>
      <c r="H229">
        <v>7.25</v>
      </c>
      <c r="I229" t="s">
        <v>14</v>
      </c>
      <c r="J229" t="str">
        <f t="shared" si="9"/>
        <v>Adult</v>
      </c>
      <c r="K229" t="str">
        <f t="shared" si="10"/>
        <v>Low</v>
      </c>
      <c r="L229">
        <f t="shared" si="11"/>
        <v>1</v>
      </c>
    </row>
    <row r="230" spans="1:12">
      <c r="A230">
        <v>0</v>
      </c>
      <c r="B230">
        <v>2</v>
      </c>
      <c r="C230" t="s">
        <v>249</v>
      </c>
      <c r="D230" t="s">
        <v>13</v>
      </c>
      <c r="E230">
        <v>18</v>
      </c>
      <c r="F230">
        <v>0</v>
      </c>
      <c r="G230">
        <v>0</v>
      </c>
      <c r="H230">
        <v>13</v>
      </c>
      <c r="I230" t="s">
        <v>14</v>
      </c>
      <c r="J230" t="str">
        <f t="shared" si="9"/>
        <v>Adult</v>
      </c>
      <c r="K230" t="str">
        <f t="shared" si="10"/>
        <v>Low</v>
      </c>
      <c r="L230">
        <f t="shared" si="11"/>
        <v>1</v>
      </c>
    </row>
    <row r="231" spans="1:12">
      <c r="A231">
        <v>0</v>
      </c>
      <c r="B231">
        <v>3</v>
      </c>
      <c r="C231" t="s">
        <v>250</v>
      </c>
      <c r="D231" t="s">
        <v>17</v>
      </c>
      <c r="F231">
        <v>3</v>
      </c>
      <c r="G231">
        <v>1</v>
      </c>
      <c r="H231">
        <v>25.466699999999999</v>
      </c>
      <c r="I231" t="s">
        <v>14</v>
      </c>
      <c r="J231" t="str">
        <f t="shared" si="9"/>
        <v>Child</v>
      </c>
      <c r="K231" t="str">
        <f t="shared" si="10"/>
        <v>Low</v>
      </c>
      <c r="L231">
        <f t="shared" si="11"/>
        <v>5</v>
      </c>
    </row>
    <row r="232" spans="1:12">
      <c r="A232">
        <v>1</v>
      </c>
      <c r="B232">
        <v>1</v>
      </c>
      <c r="C232" t="s">
        <v>251</v>
      </c>
      <c r="D232" t="s">
        <v>17</v>
      </c>
      <c r="E232">
        <v>35</v>
      </c>
      <c r="F232">
        <v>1</v>
      </c>
      <c r="G232">
        <v>0</v>
      </c>
      <c r="H232">
        <v>83.474999999999994</v>
      </c>
      <c r="I232" t="s">
        <v>14</v>
      </c>
      <c r="J232" t="str">
        <f t="shared" si="9"/>
        <v>Adult</v>
      </c>
      <c r="K232" t="str">
        <f t="shared" si="10"/>
        <v>High</v>
      </c>
      <c r="L232">
        <f t="shared" si="11"/>
        <v>2</v>
      </c>
    </row>
    <row r="233" spans="1:12">
      <c r="A233">
        <v>0</v>
      </c>
      <c r="B233">
        <v>3</v>
      </c>
      <c r="C233" t="s">
        <v>252</v>
      </c>
      <c r="D233" t="s">
        <v>13</v>
      </c>
      <c r="E233">
        <v>29</v>
      </c>
      <c r="F233">
        <v>0</v>
      </c>
      <c r="G233">
        <v>0</v>
      </c>
      <c r="H233">
        <v>7.7750000000000004</v>
      </c>
      <c r="I233" t="s">
        <v>14</v>
      </c>
      <c r="J233" t="str">
        <f t="shared" si="9"/>
        <v>Adult</v>
      </c>
      <c r="K233" t="str">
        <f t="shared" si="10"/>
        <v>Low</v>
      </c>
      <c r="L233">
        <f t="shared" si="11"/>
        <v>1</v>
      </c>
    </row>
    <row r="234" spans="1:12">
      <c r="A234">
        <v>0</v>
      </c>
      <c r="B234">
        <v>2</v>
      </c>
      <c r="C234" t="s">
        <v>253</v>
      </c>
      <c r="D234" t="s">
        <v>13</v>
      </c>
      <c r="E234">
        <v>59</v>
      </c>
      <c r="F234">
        <v>0</v>
      </c>
      <c r="G234">
        <v>0</v>
      </c>
      <c r="H234">
        <v>13.5</v>
      </c>
      <c r="I234" t="s">
        <v>14</v>
      </c>
      <c r="J234" t="str">
        <f t="shared" si="9"/>
        <v>Adult</v>
      </c>
      <c r="K234" t="str">
        <f t="shared" si="10"/>
        <v>Low</v>
      </c>
      <c r="L234">
        <f t="shared" si="11"/>
        <v>1</v>
      </c>
    </row>
    <row r="235" spans="1:12">
      <c r="A235">
        <v>1</v>
      </c>
      <c r="B235">
        <v>3</v>
      </c>
      <c r="C235" t="s">
        <v>254</v>
      </c>
      <c r="D235" t="s">
        <v>17</v>
      </c>
      <c r="E235">
        <v>5</v>
      </c>
      <c r="F235">
        <v>4</v>
      </c>
      <c r="G235">
        <v>2</v>
      </c>
      <c r="H235">
        <v>31.387499999999999</v>
      </c>
      <c r="I235" t="s">
        <v>14</v>
      </c>
      <c r="J235" t="str">
        <f t="shared" si="9"/>
        <v>Child</v>
      </c>
      <c r="K235" t="str">
        <f t="shared" si="10"/>
        <v>Low</v>
      </c>
      <c r="L235">
        <f t="shared" si="11"/>
        <v>7</v>
      </c>
    </row>
    <row r="236" spans="1:12">
      <c r="A236">
        <v>0</v>
      </c>
      <c r="B236">
        <v>2</v>
      </c>
      <c r="C236" t="s">
        <v>255</v>
      </c>
      <c r="D236" t="s">
        <v>13</v>
      </c>
      <c r="E236">
        <v>24</v>
      </c>
      <c r="F236">
        <v>0</v>
      </c>
      <c r="G236">
        <v>0</v>
      </c>
      <c r="H236">
        <v>10.5</v>
      </c>
      <c r="I236" t="s">
        <v>14</v>
      </c>
      <c r="J236" t="str">
        <f t="shared" si="9"/>
        <v>Adult</v>
      </c>
      <c r="K236" t="str">
        <f t="shared" si="10"/>
        <v>Low</v>
      </c>
      <c r="L236">
        <f t="shared" si="11"/>
        <v>1</v>
      </c>
    </row>
    <row r="237" spans="1:12">
      <c r="A237">
        <v>0</v>
      </c>
      <c r="B237">
        <v>3</v>
      </c>
      <c r="C237" t="s">
        <v>256</v>
      </c>
      <c r="D237" t="s">
        <v>17</v>
      </c>
      <c r="F237">
        <v>0</v>
      </c>
      <c r="G237">
        <v>0</v>
      </c>
      <c r="H237">
        <v>7.55</v>
      </c>
      <c r="I237" t="s">
        <v>14</v>
      </c>
      <c r="J237" t="str">
        <f t="shared" si="9"/>
        <v>Child</v>
      </c>
      <c r="K237" t="str">
        <f t="shared" si="10"/>
        <v>Low</v>
      </c>
      <c r="L237">
        <f t="shared" si="11"/>
        <v>1</v>
      </c>
    </row>
    <row r="238" spans="1:12">
      <c r="A238">
        <v>0</v>
      </c>
      <c r="B238">
        <v>2</v>
      </c>
      <c r="C238" t="s">
        <v>257</v>
      </c>
      <c r="D238" t="s">
        <v>13</v>
      </c>
      <c r="E238">
        <v>44</v>
      </c>
      <c r="F238">
        <v>1</v>
      </c>
      <c r="G238">
        <v>0</v>
      </c>
      <c r="H238">
        <v>26</v>
      </c>
      <c r="I238" t="s">
        <v>14</v>
      </c>
      <c r="J238" t="str">
        <f t="shared" si="9"/>
        <v>Adult</v>
      </c>
      <c r="K238" t="str">
        <f t="shared" si="10"/>
        <v>Low</v>
      </c>
      <c r="L238">
        <f t="shared" si="11"/>
        <v>2</v>
      </c>
    </row>
    <row r="239" spans="1:12">
      <c r="A239">
        <v>1</v>
      </c>
      <c r="B239">
        <v>2</v>
      </c>
      <c r="C239" t="s">
        <v>258</v>
      </c>
      <c r="D239" t="s">
        <v>17</v>
      </c>
      <c r="E239">
        <v>8</v>
      </c>
      <c r="F239">
        <v>0</v>
      </c>
      <c r="G239">
        <v>2</v>
      </c>
      <c r="H239">
        <v>26.25</v>
      </c>
      <c r="I239" t="s">
        <v>14</v>
      </c>
      <c r="J239" t="str">
        <f t="shared" si="9"/>
        <v>Child</v>
      </c>
      <c r="K239" t="str">
        <f t="shared" si="10"/>
        <v>Low</v>
      </c>
      <c r="L239">
        <f t="shared" si="11"/>
        <v>3</v>
      </c>
    </row>
    <row r="240" spans="1:12">
      <c r="A240">
        <v>0</v>
      </c>
      <c r="B240">
        <v>2</v>
      </c>
      <c r="C240" t="s">
        <v>259</v>
      </c>
      <c r="D240" t="s">
        <v>13</v>
      </c>
      <c r="E240">
        <v>19</v>
      </c>
      <c r="F240">
        <v>0</v>
      </c>
      <c r="G240">
        <v>0</v>
      </c>
      <c r="H240">
        <v>10.5</v>
      </c>
      <c r="I240" t="s">
        <v>14</v>
      </c>
      <c r="J240" t="str">
        <f t="shared" si="9"/>
        <v>Adult</v>
      </c>
      <c r="K240" t="str">
        <f t="shared" si="10"/>
        <v>Low</v>
      </c>
      <c r="L240">
        <f t="shared" si="11"/>
        <v>1</v>
      </c>
    </row>
    <row r="241" spans="1:12">
      <c r="A241">
        <v>0</v>
      </c>
      <c r="B241">
        <v>2</v>
      </c>
      <c r="C241" t="s">
        <v>260</v>
      </c>
      <c r="D241" t="s">
        <v>13</v>
      </c>
      <c r="E241">
        <v>33</v>
      </c>
      <c r="F241">
        <v>0</v>
      </c>
      <c r="G241">
        <v>0</v>
      </c>
      <c r="H241">
        <v>12.275</v>
      </c>
      <c r="I241" t="s">
        <v>14</v>
      </c>
      <c r="J241" t="str">
        <f t="shared" si="9"/>
        <v>Adult</v>
      </c>
      <c r="K241" t="str">
        <f t="shared" si="10"/>
        <v>Low</v>
      </c>
      <c r="L241">
        <f t="shared" si="11"/>
        <v>1</v>
      </c>
    </row>
    <row r="242" spans="1:12">
      <c r="A242">
        <v>0</v>
      </c>
      <c r="B242">
        <v>3</v>
      </c>
      <c r="C242" t="s">
        <v>261</v>
      </c>
      <c r="D242" t="s">
        <v>17</v>
      </c>
      <c r="F242">
        <v>1</v>
      </c>
      <c r="G242">
        <v>0</v>
      </c>
      <c r="H242">
        <v>14.4542</v>
      </c>
      <c r="I242" t="s">
        <v>18</v>
      </c>
      <c r="J242" t="str">
        <f t="shared" si="9"/>
        <v>Child</v>
      </c>
      <c r="K242" t="str">
        <f t="shared" si="10"/>
        <v>Low</v>
      </c>
      <c r="L242">
        <f t="shared" si="11"/>
        <v>2</v>
      </c>
    </row>
    <row r="243" spans="1:12">
      <c r="A243">
        <v>1</v>
      </c>
      <c r="B243">
        <v>3</v>
      </c>
      <c r="C243" t="s">
        <v>262</v>
      </c>
      <c r="D243" t="s">
        <v>17</v>
      </c>
      <c r="F243">
        <v>1</v>
      </c>
      <c r="G243">
        <v>0</v>
      </c>
      <c r="H243">
        <v>15.5</v>
      </c>
      <c r="I243" t="s">
        <v>26</v>
      </c>
      <c r="J243" t="str">
        <f t="shared" si="9"/>
        <v>Child</v>
      </c>
      <c r="K243" t="str">
        <f t="shared" si="10"/>
        <v>Low</v>
      </c>
      <c r="L243">
        <f t="shared" si="11"/>
        <v>2</v>
      </c>
    </row>
    <row r="244" spans="1:12">
      <c r="A244">
        <v>0</v>
      </c>
      <c r="B244">
        <v>2</v>
      </c>
      <c r="C244" t="s">
        <v>263</v>
      </c>
      <c r="D244" t="s">
        <v>13</v>
      </c>
      <c r="E244">
        <v>29</v>
      </c>
      <c r="F244">
        <v>0</v>
      </c>
      <c r="G244">
        <v>0</v>
      </c>
      <c r="H244">
        <v>10.5</v>
      </c>
      <c r="I244" t="s">
        <v>14</v>
      </c>
      <c r="J244" t="str">
        <f t="shared" si="9"/>
        <v>Adult</v>
      </c>
      <c r="K244" t="str">
        <f t="shared" si="10"/>
        <v>Low</v>
      </c>
      <c r="L244">
        <f t="shared" si="11"/>
        <v>1</v>
      </c>
    </row>
    <row r="245" spans="1:12">
      <c r="A245">
        <v>0</v>
      </c>
      <c r="B245">
        <v>3</v>
      </c>
      <c r="C245" t="s">
        <v>264</v>
      </c>
      <c r="D245" t="s">
        <v>13</v>
      </c>
      <c r="E245">
        <v>22</v>
      </c>
      <c r="F245">
        <v>0</v>
      </c>
      <c r="G245">
        <v>0</v>
      </c>
      <c r="H245">
        <v>7.125</v>
      </c>
      <c r="I245" t="s">
        <v>14</v>
      </c>
      <c r="J245" t="str">
        <f t="shared" si="9"/>
        <v>Adult</v>
      </c>
      <c r="K245" t="str">
        <f t="shared" si="10"/>
        <v>Low</v>
      </c>
      <c r="L245">
        <f t="shared" si="11"/>
        <v>1</v>
      </c>
    </row>
    <row r="246" spans="1:12">
      <c r="A246">
        <v>0</v>
      </c>
      <c r="B246">
        <v>3</v>
      </c>
      <c r="C246" t="s">
        <v>265</v>
      </c>
      <c r="D246" t="s">
        <v>13</v>
      </c>
      <c r="E246">
        <v>30</v>
      </c>
      <c r="F246">
        <v>0</v>
      </c>
      <c r="G246">
        <v>0</v>
      </c>
      <c r="H246">
        <v>7.2249999999999996</v>
      </c>
      <c r="I246" t="s">
        <v>18</v>
      </c>
      <c r="J246" t="str">
        <f t="shared" si="9"/>
        <v>Adult</v>
      </c>
      <c r="K246" t="str">
        <f t="shared" si="10"/>
        <v>Low</v>
      </c>
      <c r="L246">
        <f t="shared" si="11"/>
        <v>1</v>
      </c>
    </row>
    <row r="247" spans="1:12">
      <c r="A247">
        <v>0</v>
      </c>
      <c r="B247">
        <v>1</v>
      </c>
      <c r="C247" t="s">
        <v>266</v>
      </c>
      <c r="D247" t="s">
        <v>13</v>
      </c>
      <c r="E247">
        <v>44</v>
      </c>
      <c r="F247">
        <v>2</v>
      </c>
      <c r="G247">
        <v>0</v>
      </c>
      <c r="H247">
        <v>90</v>
      </c>
      <c r="I247" t="s">
        <v>26</v>
      </c>
      <c r="J247" t="str">
        <f t="shared" si="9"/>
        <v>Adult</v>
      </c>
      <c r="K247" t="str">
        <f t="shared" si="10"/>
        <v>High</v>
      </c>
      <c r="L247">
        <f t="shared" si="11"/>
        <v>3</v>
      </c>
    </row>
    <row r="248" spans="1:12">
      <c r="A248">
        <v>0</v>
      </c>
      <c r="B248">
        <v>3</v>
      </c>
      <c r="C248" t="s">
        <v>267</v>
      </c>
      <c r="D248" t="s">
        <v>17</v>
      </c>
      <c r="E248">
        <v>25</v>
      </c>
      <c r="F248">
        <v>0</v>
      </c>
      <c r="G248">
        <v>0</v>
      </c>
      <c r="H248">
        <v>7.7750000000000004</v>
      </c>
      <c r="I248" t="s">
        <v>14</v>
      </c>
      <c r="J248" t="str">
        <f t="shared" si="9"/>
        <v>Adult</v>
      </c>
      <c r="K248" t="str">
        <f t="shared" si="10"/>
        <v>Low</v>
      </c>
      <c r="L248">
        <f t="shared" si="11"/>
        <v>1</v>
      </c>
    </row>
    <row r="249" spans="1:12">
      <c r="A249">
        <v>1</v>
      </c>
      <c r="B249">
        <v>2</v>
      </c>
      <c r="C249" t="s">
        <v>268</v>
      </c>
      <c r="D249" t="s">
        <v>17</v>
      </c>
      <c r="E249">
        <v>24</v>
      </c>
      <c r="F249">
        <v>0</v>
      </c>
      <c r="G249">
        <v>2</v>
      </c>
      <c r="H249">
        <v>14.5</v>
      </c>
      <c r="I249" t="s">
        <v>14</v>
      </c>
      <c r="J249" t="str">
        <f t="shared" si="9"/>
        <v>Adult</v>
      </c>
      <c r="K249" t="str">
        <f t="shared" si="10"/>
        <v>Low</v>
      </c>
      <c r="L249">
        <f t="shared" si="11"/>
        <v>3</v>
      </c>
    </row>
    <row r="250" spans="1:12">
      <c r="A250">
        <v>1</v>
      </c>
      <c r="B250">
        <v>1</v>
      </c>
      <c r="C250" t="s">
        <v>269</v>
      </c>
      <c r="D250" t="s">
        <v>13</v>
      </c>
      <c r="E250">
        <v>37</v>
      </c>
      <c r="F250">
        <v>1</v>
      </c>
      <c r="G250">
        <v>1</v>
      </c>
      <c r="H250">
        <v>52.554200000000002</v>
      </c>
      <c r="I250" t="s">
        <v>14</v>
      </c>
      <c r="J250" t="str">
        <f t="shared" si="9"/>
        <v>Adult</v>
      </c>
      <c r="K250" t="str">
        <f t="shared" si="10"/>
        <v>High</v>
      </c>
      <c r="L250">
        <f t="shared" si="11"/>
        <v>3</v>
      </c>
    </row>
    <row r="251" spans="1:12">
      <c r="A251">
        <v>0</v>
      </c>
      <c r="B251">
        <v>2</v>
      </c>
      <c r="C251" t="s">
        <v>270</v>
      </c>
      <c r="D251" t="s">
        <v>13</v>
      </c>
      <c r="E251">
        <v>54</v>
      </c>
      <c r="F251">
        <v>1</v>
      </c>
      <c r="G251">
        <v>0</v>
      </c>
      <c r="H251">
        <v>26</v>
      </c>
      <c r="I251" t="s">
        <v>14</v>
      </c>
      <c r="J251" t="str">
        <f t="shared" si="9"/>
        <v>Adult</v>
      </c>
      <c r="K251" t="str">
        <f t="shared" si="10"/>
        <v>Low</v>
      </c>
      <c r="L251">
        <f t="shared" si="11"/>
        <v>2</v>
      </c>
    </row>
    <row r="252" spans="1:12">
      <c r="A252">
        <v>0</v>
      </c>
      <c r="B252">
        <v>3</v>
      </c>
      <c r="C252" t="s">
        <v>271</v>
      </c>
      <c r="D252" t="s">
        <v>13</v>
      </c>
      <c r="F252">
        <v>0</v>
      </c>
      <c r="G252">
        <v>0</v>
      </c>
      <c r="H252">
        <v>7.25</v>
      </c>
      <c r="I252" t="s">
        <v>14</v>
      </c>
      <c r="J252" t="str">
        <f t="shared" si="9"/>
        <v>Child</v>
      </c>
      <c r="K252" t="str">
        <f t="shared" si="10"/>
        <v>Low</v>
      </c>
      <c r="L252">
        <f t="shared" si="11"/>
        <v>1</v>
      </c>
    </row>
    <row r="253" spans="1:12">
      <c r="A253">
        <v>0</v>
      </c>
      <c r="B253">
        <v>3</v>
      </c>
      <c r="C253" t="s">
        <v>272</v>
      </c>
      <c r="D253" t="s">
        <v>17</v>
      </c>
      <c r="E253">
        <v>29</v>
      </c>
      <c r="F253">
        <v>1</v>
      </c>
      <c r="G253">
        <v>1</v>
      </c>
      <c r="H253">
        <v>10.4625</v>
      </c>
      <c r="I253" t="s">
        <v>14</v>
      </c>
      <c r="J253" t="str">
        <f t="shared" si="9"/>
        <v>Adult</v>
      </c>
      <c r="K253" t="str">
        <f t="shared" si="10"/>
        <v>Low</v>
      </c>
      <c r="L253">
        <f t="shared" si="11"/>
        <v>3</v>
      </c>
    </row>
    <row r="254" spans="1:12">
      <c r="A254">
        <v>0</v>
      </c>
      <c r="B254">
        <v>1</v>
      </c>
      <c r="C254" t="s">
        <v>273</v>
      </c>
      <c r="D254" t="s">
        <v>13</v>
      </c>
      <c r="E254">
        <v>62</v>
      </c>
      <c r="F254">
        <v>0</v>
      </c>
      <c r="G254">
        <v>0</v>
      </c>
      <c r="H254">
        <v>26.55</v>
      </c>
      <c r="I254" t="s">
        <v>14</v>
      </c>
      <c r="J254" t="str">
        <f t="shared" si="9"/>
        <v>Adult</v>
      </c>
      <c r="K254" t="str">
        <f t="shared" si="10"/>
        <v>Low</v>
      </c>
      <c r="L254">
        <f t="shared" si="11"/>
        <v>1</v>
      </c>
    </row>
    <row r="255" spans="1:12">
      <c r="A255">
        <v>0</v>
      </c>
      <c r="B255">
        <v>3</v>
      </c>
      <c r="C255" t="s">
        <v>274</v>
      </c>
      <c r="D255" t="s">
        <v>13</v>
      </c>
      <c r="E255">
        <v>30</v>
      </c>
      <c r="F255">
        <v>1</v>
      </c>
      <c r="G255">
        <v>0</v>
      </c>
      <c r="H255">
        <v>16.100000000000001</v>
      </c>
      <c r="I255" t="s">
        <v>14</v>
      </c>
      <c r="J255" t="str">
        <f t="shared" si="9"/>
        <v>Adult</v>
      </c>
      <c r="K255" t="str">
        <f t="shared" si="10"/>
        <v>Low</v>
      </c>
      <c r="L255">
        <f t="shared" si="11"/>
        <v>2</v>
      </c>
    </row>
    <row r="256" spans="1:12">
      <c r="A256">
        <v>0</v>
      </c>
      <c r="B256">
        <v>3</v>
      </c>
      <c r="C256" t="s">
        <v>275</v>
      </c>
      <c r="D256" t="s">
        <v>17</v>
      </c>
      <c r="E256">
        <v>41</v>
      </c>
      <c r="F256">
        <v>0</v>
      </c>
      <c r="G256">
        <v>2</v>
      </c>
      <c r="H256">
        <v>20.212499999999999</v>
      </c>
      <c r="I256" t="s">
        <v>14</v>
      </c>
      <c r="J256" t="str">
        <f t="shared" si="9"/>
        <v>Adult</v>
      </c>
      <c r="K256" t="str">
        <f t="shared" si="10"/>
        <v>Low</v>
      </c>
      <c r="L256">
        <f t="shared" si="11"/>
        <v>3</v>
      </c>
    </row>
    <row r="257" spans="1:12">
      <c r="A257">
        <v>1</v>
      </c>
      <c r="B257">
        <v>3</v>
      </c>
      <c r="C257" t="s">
        <v>276</v>
      </c>
      <c r="D257" t="s">
        <v>17</v>
      </c>
      <c r="E257">
        <v>29</v>
      </c>
      <c r="F257">
        <v>0</v>
      </c>
      <c r="G257">
        <v>2</v>
      </c>
      <c r="H257">
        <v>15.245799999999999</v>
      </c>
      <c r="I257" t="s">
        <v>18</v>
      </c>
      <c r="J257" t="str">
        <f t="shared" si="9"/>
        <v>Adult</v>
      </c>
      <c r="K257" t="str">
        <f t="shared" si="10"/>
        <v>Low</v>
      </c>
      <c r="L257">
        <f t="shared" si="11"/>
        <v>3</v>
      </c>
    </row>
    <row r="258" spans="1:12">
      <c r="A258">
        <v>1</v>
      </c>
      <c r="B258">
        <v>1</v>
      </c>
      <c r="C258" t="s">
        <v>277</v>
      </c>
      <c r="D258" t="s">
        <v>17</v>
      </c>
      <c r="F258">
        <v>0</v>
      </c>
      <c r="G258">
        <v>0</v>
      </c>
      <c r="H258">
        <v>79.2</v>
      </c>
      <c r="I258" t="s">
        <v>18</v>
      </c>
      <c r="J258" t="str">
        <f t="shared" si="9"/>
        <v>Child</v>
      </c>
      <c r="K258" t="str">
        <f t="shared" si="10"/>
        <v>High</v>
      </c>
      <c r="L258">
        <f t="shared" si="11"/>
        <v>1</v>
      </c>
    </row>
    <row r="259" spans="1:12">
      <c r="A259">
        <v>1</v>
      </c>
      <c r="B259">
        <v>1</v>
      </c>
      <c r="C259" t="s">
        <v>278</v>
      </c>
      <c r="D259" t="s">
        <v>17</v>
      </c>
      <c r="E259">
        <v>30</v>
      </c>
      <c r="F259">
        <v>0</v>
      </c>
      <c r="G259">
        <v>0</v>
      </c>
      <c r="H259">
        <v>86.5</v>
      </c>
      <c r="I259" t="s">
        <v>14</v>
      </c>
      <c r="J259" t="str">
        <f t="shared" ref="J259:J322" si="12">IF(E259&lt;18,"Child","Adult")</f>
        <v>Adult</v>
      </c>
      <c r="K259" t="str">
        <f t="shared" ref="K259:K322" si="13">IF(H259&gt;50,"High","Low")</f>
        <v>High</v>
      </c>
      <c r="L259">
        <f t="shared" ref="L259:L322" si="14">F259+G259+1</f>
        <v>1</v>
      </c>
    </row>
    <row r="260" spans="1:12">
      <c r="A260">
        <v>1</v>
      </c>
      <c r="B260">
        <v>1</v>
      </c>
      <c r="C260" t="s">
        <v>279</v>
      </c>
      <c r="D260" t="s">
        <v>17</v>
      </c>
      <c r="E260">
        <v>35</v>
      </c>
      <c r="F260">
        <v>0</v>
      </c>
      <c r="G260">
        <v>0</v>
      </c>
      <c r="H260">
        <v>512.32920000000001</v>
      </c>
      <c r="I260" t="s">
        <v>18</v>
      </c>
      <c r="J260" t="str">
        <f t="shared" si="12"/>
        <v>Adult</v>
      </c>
      <c r="K260" t="str">
        <f t="shared" si="13"/>
        <v>High</v>
      </c>
      <c r="L260">
        <f t="shared" si="14"/>
        <v>1</v>
      </c>
    </row>
    <row r="261" spans="1:12">
      <c r="A261">
        <v>1</v>
      </c>
      <c r="B261">
        <v>2</v>
      </c>
      <c r="C261" t="s">
        <v>280</v>
      </c>
      <c r="D261" t="s">
        <v>17</v>
      </c>
      <c r="E261">
        <v>50</v>
      </c>
      <c r="F261">
        <v>0</v>
      </c>
      <c r="G261">
        <v>1</v>
      </c>
      <c r="H261">
        <v>26</v>
      </c>
      <c r="I261" t="s">
        <v>14</v>
      </c>
      <c r="J261" t="str">
        <f t="shared" si="12"/>
        <v>Adult</v>
      </c>
      <c r="K261" t="str">
        <f t="shared" si="13"/>
        <v>Low</v>
      </c>
      <c r="L261">
        <f t="shared" si="14"/>
        <v>2</v>
      </c>
    </row>
    <row r="262" spans="1:12">
      <c r="A262">
        <v>0</v>
      </c>
      <c r="B262">
        <v>3</v>
      </c>
      <c r="C262" t="s">
        <v>281</v>
      </c>
      <c r="D262" t="s">
        <v>13</v>
      </c>
      <c r="F262">
        <v>0</v>
      </c>
      <c r="G262">
        <v>0</v>
      </c>
      <c r="H262">
        <v>7.75</v>
      </c>
      <c r="I262" t="s">
        <v>26</v>
      </c>
      <c r="J262" t="str">
        <f t="shared" si="12"/>
        <v>Child</v>
      </c>
      <c r="K262" t="str">
        <f t="shared" si="13"/>
        <v>Low</v>
      </c>
      <c r="L262">
        <f t="shared" si="14"/>
        <v>1</v>
      </c>
    </row>
    <row r="263" spans="1:12">
      <c r="A263">
        <v>1</v>
      </c>
      <c r="B263">
        <v>3</v>
      </c>
      <c r="C263" t="s">
        <v>282</v>
      </c>
      <c r="D263" t="s">
        <v>13</v>
      </c>
      <c r="E263">
        <v>3</v>
      </c>
      <c r="F263">
        <v>4</v>
      </c>
      <c r="G263">
        <v>2</v>
      </c>
      <c r="H263">
        <v>31.387499999999999</v>
      </c>
      <c r="I263" t="s">
        <v>14</v>
      </c>
      <c r="J263" t="str">
        <f t="shared" si="12"/>
        <v>Child</v>
      </c>
      <c r="K263" t="str">
        <f t="shared" si="13"/>
        <v>Low</v>
      </c>
      <c r="L263">
        <f t="shared" si="14"/>
        <v>7</v>
      </c>
    </row>
    <row r="264" spans="1:12">
      <c r="A264">
        <v>0</v>
      </c>
      <c r="B264">
        <v>1</v>
      </c>
      <c r="C264" t="s">
        <v>283</v>
      </c>
      <c r="D264" t="s">
        <v>13</v>
      </c>
      <c r="E264">
        <v>52</v>
      </c>
      <c r="F264">
        <v>1</v>
      </c>
      <c r="G264">
        <v>1</v>
      </c>
      <c r="H264">
        <v>79.650000000000006</v>
      </c>
      <c r="I264" t="s">
        <v>14</v>
      </c>
      <c r="J264" t="str">
        <f t="shared" si="12"/>
        <v>Adult</v>
      </c>
      <c r="K264" t="str">
        <f t="shared" si="13"/>
        <v>High</v>
      </c>
      <c r="L264">
        <f t="shared" si="14"/>
        <v>3</v>
      </c>
    </row>
    <row r="265" spans="1:12">
      <c r="A265">
        <v>0</v>
      </c>
      <c r="B265">
        <v>1</v>
      </c>
      <c r="C265" t="s">
        <v>284</v>
      </c>
      <c r="D265" t="s">
        <v>13</v>
      </c>
      <c r="E265">
        <v>40</v>
      </c>
      <c r="F265">
        <v>0</v>
      </c>
      <c r="G265">
        <v>0</v>
      </c>
      <c r="H265">
        <v>0</v>
      </c>
      <c r="I265" t="s">
        <v>14</v>
      </c>
      <c r="J265" t="str">
        <f t="shared" si="12"/>
        <v>Adult</v>
      </c>
      <c r="K265" t="str">
        <f t="shared" si="13"/>
        <v>Low</v>
      </c>
      <c r="L265">
        <f t="shared" si="14"/>
        <v>1</v>
      </c>
    </row>
    <row r="266" spans="1:12">
      <c r="A266">
        <v>0</v>
      </c>
      <c r="B266">
        <v>3</v>
      </c>
      <c r="C266" t="s">
        <v>285</v>
      </c>
      <c r="D266" t="s">
        <v>17</v>
      </c>
      <c r="F266">
        <v>0</v>
      </c>
      <c r="G266">
        <v>0</v>
      </c>
      <c r="H266">
        <v>7.75</v>
      </c>
      <c r="I266" t="s">
        <v>26</v>
      </c>
      <c r="J266" t="str">
        <f t="shared" si="12"/>
        <v>Child</v>
      </c>
      <c r="K266" t="str">
        <f t="shared" si="13"/>
        <v>Low</v>
      </c>
      <c r="L266">
        <f t="shared" si="14"/>
        <v>1</v>
      </c>
    </row>
    <row r="267" spans="1:12">
      <c r="A267">
        <v>0</v>
      </c>
      <c r="B267">
        <v>2</v>
      </c>
      <c r="C267" t="s">
        <v>286</v>
      </c>
      <c r="D267" t="s">
        <v>13</v>
      </c>
      <c r="E267">
        <v>36</v>
      </c>
      <c r="F267">
        <v>0</v>
      </c>
      <c r="G267">
        <v>0</v>
      </c>
      <c r="H267">
        <v>10.5</v>
      </c>
      <c r="I267" t="s">
        <v>14</v>
      </c>
      <c r="J267" t="str">
        <f t="shared" si="12"/>
        <v>Adult</v>
      </c>
      <c r="K267" t="str">
        <f t="shared" si="13"/>
        <v>Low</v>
      </c>
      <c r="L267">
        <f t="shared" si="14"/>
        <v>1</v>
      </c>
    </row>
    <row r="268" spans="1:12">
      <c r="A268">
        <v>0</v>
      </c>
      <c r="B268">
        <v>3</v>
      </c>
      <c r="C268" t="s">
        <v>287</v>
      </c>
      <c r="D268" t="s">
        <v>13</v>
      </c>
      <c r="E268">
        <v>16</v>
      </c>
      <c r="F268">
        <v>4</v>
      </c>
      <c r="G268">
        <v>1</v>
      </c>
      <c r="H268">
        <v>39.6875</v>
      </c>
      <c r="I268" t="s">
        <v>14</v>
      </c>
      <c r="J268" t="str">
        <f t="shared" si="12"/>
        <v>Child</v>
      </c>
      <c r="K268" t="str">
        <f t="shared" si="13"/>
        <v>Low</v>
      </c>
      <c r="L268">
        <f t="shared" si="14"/>
        <v>6</v>
      </c>
    </row>
    <row r="269" spans="1:12">
      <c r="A269">
        <v>1</v>
      </c>
      <c r="B269">
        <v>3</v>
      </c>
      <c r="C269" t="s">
        <v>288</v>
      </c>
      <c r="D269" t="s">
        <v>13</v>
      </c>
      <c r="E269">
        <v>25</v>
      </c>
      <c r="F269">
        <v>1</v>
      </c>
      <c r="G269">
        <v>0</v>
      </c>
      <c r="H269">
        <v>7.7750000000000004</v>
      </c>
      <c r="I269" t="s">
        <v>14</v>
      </c>
      <c r="J269" t="str">
        <f t="shared" si="12"/>
        <v>Adult</v>
      </c>
      <c r="K269" t="str">
        <f t="shared" si="13"/>
        <v>Low</v>
      </c>
      <c r="L269">
        <f t="shared" si="14"/>
        <v>2</v>
      </c>
    </row>
    <row r="270" spans="1:12">
      <c r="A270">
        <v>1</v>
      </c>
      <c r="B270">
        <v>1</v>
      </c>
      <c r="C270" t="s">
        <v>289</v>
      </c>
      <c r="D270" t="s">
        <v>17</v>
      </c>
      <c r="E270">
        <v>58</v>
      </c>
      <c r="F270">
        <v>0</v>
      </c>
      <c r="G270">
        <v>1</v>
      </c>
      <c r="H270">
        <v>153.46250000000001</v>
      </c>
      <c r="I270" t="s">
        <v>14</v>
      </c>
      <c r="J270" t="str">
        <f t="shared" si="12"/>
        <v>Adult</v>
      </c>
      <c r="K270" t="str">
        <f t="shared" si="13"/>
        <v>High</v>
      </c>
      <c r="L270">
        <f t="shared" si="14"/>
        <v>2</v>
      </c>
    </row>
    <row r="271" spans="1:12">
      <c r="A271">
        <v>1</v>
      </c>
      <c r="B271">
        <v>1</v>
      </c>
      <c r="C271" t="s">
        <v>290</v>
      </c>
      <c r="D271" t="s">
        <v>17</v>
      </c>
      <c r="E271">
        <v>35</v>
      </c>
      <c r="F271">
        <v>0</v>
      </c>
      <c r="G271">
        <v>0</v>
      </c>
      <c r="H271">
        <v>135.63329999999999</v>
      </c>
      <c r="I271" t="s">
        <v>14</v>
      </c>
      <c r="J271" t="str">
        <f t="shared" si="12"/>
        <v>Adult</v>
      </c>
      <c r="K271" t="str">
        <f t="shared" si="13"/>
        <v>High</v>
      </c>
      <c r="L271">
        <f t="shared" si="14"/>
        <v>1</v>
      </c>
    </row>
    <row r="272" spans="1:12">
      <c r="A272">
        <v>0</v>
      </c>
      <c r="B272">
        <v>1</v>
      </c>
      <c r="C272" t="s">
        <v>291</v>
      </c>
      <c r="D272" t="s">
        <v>13</v>
      </c>
      <c r="F272">
        <v>0</v>
      </c>
      <c r="G272">
        <v>0</v>
      </c>
      <c r="H272">
        <v>31</v>
      </c>
      <c r="I272" t="s">
        <v>14</v>
      </c>
      <c r="J272" t="str">
        <f t="shared" si="12"/>
        <v>Child</v>
      </c>
      <c r="K272" t="str">
        <f t="shared" si="13"/>
        <v>Low</v>
      </c>
      <c r="L272">
        <f t="shared" si="14"/>
        <v>1</v>
      </c>
    </row>
    <row r="273" spans="1:12">
      <c r="A273">
        <v>1</v>
      </c>
      <c r="B273">
        <v>3</v>
      </c>
      <c r="C273" t="s">
        <v>292</v>
      </c>
      <c r="D273" t="s">
        <v>13</v>
      </c>
      <c r="E273">
        <v>25</v>
      </c>
      <c r="F273">
        <v>0</v>
      </c>
      <c r="G273">
        <v>0</v>
      </c>
      <c r="H273">
        <v>0</v>
      </c>
      <c r="I273" t="s">
        <v>14</v>
      </c>
      <c r="J273" t="str">
        <f t="shared" si="12"/>
        <v>Adult</v>
      </c>
      <c r="K273" t="str">
        <f t="shared" si="13"/>
        <v>Low</v>
      </c>
      <c r="L273">
        <f t="shared" si="14"/>
        <v>1</v>
      </c>
    </row>
    <row r="274" spans="1:12">
      <c r="A274">
        <v>1</v>
      </c>
      <c r="B274">
        <v>2</v>
      </c>
      <c r="C274" t="s">
        <v>293</v>
      </c>
      <c r="D274" t="s">
        <v>17</v>
      </c>
      <c r="E274">
        <v>41</v>
      </c>
      <c r="F274">
        <v>0</v>
      </c>
      <c r="G274">
        <v>1</v>
      </c>
      <c r="H274">
        <v>19.5</v>
      </c>
      <c r="I274" t="s">
        <v>14</v>
      </c>
      <c r="J274" t="str">
        <f t="shared" si="12"/>
        <v>Adult</v>
      </c>
      <c r="K274" t="str">
        <f t="shared" si="13"/>
        <v>Low</v>
      </c>
      <c r="L274">
        <f t="shared" si="14"/>
        <v>2</v>
      </c>
    </row>
    <row r="275" spans="1:12">
      <c r="A275">
        <v>0</v>
      </c>
      <c r="B275">
        <v>1</v>
      </c>
      <c r="C275" t="s">
        <v>294</v>
      </c>
      <c r="D275" t="s">
        <v>13</v>
      </c>
      <c r="E275">
        <v>37</v>
      </c>
      <c r="F275">
        <v>0</v>
      </c>
      <c r="G275">
        <v>1</v>
      </c>
      <c r="H275">
        <v>29.7</v>
      </c>
      <c r="I275" t="s">
        <v>18</v>
      </c>
      <c r="J275" t="str">
        <f t="shared" si="12"/>
        <v>Adult</v>
      </c>
      <c r="K275" t="str">
        <f t="shared" si="13"/>
        <v>Low</v>
      </c>
      <c r="L275">
        <f t="shared" si="14"/>
        <v>2</v>
      </c>
    </row>
    <row r="276" spans="1:12">
      <c r="A276">
        <v>1</v>
      </c>
      <c r="B276">
        <v>3</v>
      </c>
      <c r="C276" t="s">
        <v>295</v>
      </c>
      <c r="D276" t="s">
        <v>17</v>
      </c>
      <c r="F276">
        <v>0</v>
      </c>
      <c r="G276">
        <v>0</v>
      </c>
      <c r="H276">
        <v>7.75</v>
      </c>
      <c r="I276" t="s">
        <v>26</v>
      </c>
      <c r="J276" t="str">
        <f t="shared" si="12"/>
        <v>Child</v>
      </c>
      <c r="K276" t="str">
        <f t="shared" si="13"/>
        <v>Low</v>
      </c>
      <c r="L276">
        <f t="shared" si="14"/>
        <v>1</v>
      </c>
    </row>
    <row r="277" spans="1:12">
      <c r="A277">
        <v>1</v>
      </c>
      <c r="B277">
        <v>1</v>
      </c>
      <c r="C277" t="s">
        <v>296</v>
      </c>
      <c r="D277" t="s">
        <v>17</v>
      </c>
      <c r="E277">
        <v>63</v>
      </c>
      <c r="F277">
        <v>1</v>
      </c>
      <c r="G277">
        <v>0</v>
      </c>
      <c r="H277">
        <v>77.958299999999994</v>
      </c>
      <c r="I277" t="s">
        <v>14</v>
      </c>
      <c r="J277" t="str">
        <f t="shared" si="12"/>
        <v>Adult</v>
      </c>
      <c r="K277" t="str">
        <f t="shared" si="13"/>
        <v>High</v>
      </c>
      <c r="L277">
        <f t="shared" si="14"/>
        <v>2</v>
      </c>
    </row>
    <row r="278" spans="1:12">
      <c r="A278">
        <v>0</v>
      </c>
      <c r="B278">
        <v>3</v>
      </c>
      <c r="C278" t="s">
        <v>297</v>
      </c>
      <c r="D278" t="s">
        <v>17</v>
      </c>
      <c r="E278">
        <v>45</v>
      </c>
      <c r="F278">
        <v>0</v>
      </c>
      <c r="G278">
        <v>0</v>
      </c>
      <c r="H278">
        <v>7.75</v>
      </c>
      <c r="I278" t="s">
        <v>14</v>
      </c>
      <c r="J278" t="str">
        <f t="shared" si="12"/>
        <v>Adult</v>
      </c>
      <c r="K278" t="str">
        <f t="shared" si="13"/>
        <v>Low</v>
      </c>
      <c r="L278">
        <f t="shared" si="14"/>
        <v>1</v>
      </c>
    </row>
    <row r="279" spans="1:12">
      <c r="A279">
        <v>0</v>
      </c>
      <c r="B279">
        <v>2</v>
      </c>
      <c r="C279" t="s">
        <v>298</v>
      </c>
      <c r="D279" t="s">
        <v>13</v>
      </c>
      <c r="F279">
        <v>0</v>
      </c>
      <c r="G279">
        <v>0</v>
      </c>
      <c r="H279">
        <v>0</v>
      </c>
      <c r="I279" t="s">
        <v>14</v>
      </c>
      <c r="J279" t="str">
        <f t="shared" si="12"/>
        <v>Child</v>
      </c>
      <c r="K279" t="str">
        <f t="shared" si="13"/>
        <v>Low</v>
      </c>
      <c r="L279">
        <f t="shared" si="14"/>
        <v>1</v>
      </c>
    </row>
    <row r="280" spans="1:12">
      <c r="A280">
        <v>0</v>
      </c>
      <c r="B280">
        <v>3</v>
      </c>
      <c r="C280" t="s">
        <v>299</v>
      </c>
      <c r="D280" t="s">
        <v>13</v>
      </c>
      <c r="E280">
        <v>7</v>
      </c>
      <c r="F280">
        <v>4</v>
      </c>
      <c r="G280">
        <v>1</v>
      </c>
      <c r="H280">
        <v>29.125</v>
      </c>
      <c r="I280" t="s">
        <v>26</v>
      </c>
      <c r="J280" t="str">
        <f t="shared" si="12"/>
        <v>Child</v>
      </c>
      <c r="K280" t="str">
        <f t="shared" si="13"/>
        <v>Low</v>
      </c>
      <c r="L280">
        <f t="shared" si="14"/>
        <v>6</v>
      </c>
    </row>
    <row r="281" spans="1:12">
      <c r="A281">
        <v>1</v>
      </c>
      <c r="B281">
        <v>3</v>
      </c>
      <c r="C281" t="s">
        <v>300</v>
      </c>
      <c r="D281" t="s">
        <v>17</v>
      </c>
      <c r="E281">
        <v>35</v>
      </c>
      <c r="F281">
        <v>1</v>
      </c>
      <c r="G281">
        <v>1</v>
      </c>
      <c r="H281">
        <v>20.25</v>
      </c>
      <c r="I281" t="s">
        <v>14</v>
      </c>
      <c r="J281" t="str">
        <f t="shared" si="12"/>
        <v>Adult</v>
      </c>
      <c r="K281" t="str">
        <f t="shared" si="13"/>
        <v>Low</v>
      </c>
      <c r="L281">
        <f t="shared" si="14"/>
        <v>3</v>
      </c>
    </row>
    <row r="282" spans="1:12">
      <c r="A282">
        <v>0</v>
      </c>
      <c r="B282">
        <v>3</v>
      </c>
      <c r="C282" t="s">
        <v>301</v>
      </c>
      <c r="D282" t="s">
        <v>13</v>
      </c>
      <c r="E282">
        <v>65</v>
      </c>
      <c r="F282">
        <v>0</v>
      </c>
      <c r="G282">
        <v>0</v>
      </c>
      <c r="H282">
        <v>7.75</v>
      </c>
      <c r="I282" t="s">
        <v>26</v>
      </c>
      <c r="J282" t="str">
        <f t="shared" si="12"/>
        <v>Adult</v>
      </c>
      <c r="K282" t="str">
        <f t="shared" si="13"/>
        <v>Low</v>
      </c>
      <c r="L282">
        <f t="shared" si="14"/>
        <v>1</v>
      </c>
    </row>
    <row r="283" spans="1:12">
      <c r="A283">
        <v>0</v>
      </c>
      <c r="B283">
        <v>3</v>
      </c>
      <c r="C283" t="s">
        <v>302</v>
      </c>
      <c r="D283" t="s">
        <v>13</v>
      </c>
      <c r="E283">
        <v>28</v>
      </c>
      <c r="F283">
        <v>0</v>
      </c>
      <c r="G283">
        <v>0</v>
      </c>
      <c r="H283">
        <v>7.8541999999999996</v>
      </c>
      <c r="I283" t="s">
        <v>14</v>
      </c>
      <c r="J283" t="str">
        <f t="shared" si="12"/>
        <v>Adult</v>
      </c>
      <c r="K283" t="str">
        <f t="shared" si="13"/>
        <v>Low</v>
      </c>
      <c r="L283">
        <f t="shared" si="14"/>
        <v>1</v>
      </c>
    </row>
    <row r="284" spans="1:12">
      <c r="A284">
        <v>0</v>
      </c>
      <c r="B284">
        <v>3</v>
      </c>
      <c r="C284" t="s">
        <v>303</v>
      </c>
      <c r="D284" t="s">
        <v>13</v>
      </c>
      <c r="E284">
        <v>16</v>
      </c>
      <c r="F284">
        <v>0</v>
      </c>
      <c r="G284">
        <v>0</v>
      </c>
      <c r="H284">
        <v>9.5</v>
      </c>
      <c r="I284" t="s">
        <v>14</v>
      </c>
      <c r="J284" t="str">
        <f t="shared" si="12"/>
        <v>Child</v>
      </c>
      <c r="K284" t="str">
        <f t="shared" si="13"/>
        <v>Low</v>
      </c>
      <c r="L284">
        <f t="shared" si="14"/>
        <v>1</v>
      </c>
    </row>
    <row r="285" spans="1:12">
      <c r="A285">
        <v>1</v>
      </c>
      <c r="B285">
        <v>3</v>
      </c>
      <c r="C285" t="s">
        <v>304</v>
      </c>
      <c r="D285" t="s">
        <v>13</v>
      </c>
      <c r="E285">
        <v>19</v>
      </c>
      <c r="F285">
        <v>0</v>
      </c>
      <c r="G285">
        <v>0</v>
      </c>
      <c r="H285">
        <v>8.0500000000000007</v>
      </c>
      <c r="I285" t="s">
        <v>14</v>
      </c>
      <c r="J285" t="str">
        <f t="shared" si="12"/>
        <v>Adult</v>
      </c>
      <c r="K285" t="str">
        <f t="shared" si="13"/>
        <v>Low</v>
      </c>
      <c r="L285">
        <f t="shared" si="14"/>
        <v>1</v>
      </c>
    </row>
    <row r="286" spans="1:12">
      <c r="A286">
        <v>0</v>
      </c>
      <c r="B286">
        <v>1</v>
      </c>
      <c r="C286" t="s">
        <v>305</v>
      </c>
      <c r="D286" t="s">
        <v>13</v>
      </c>
      <c r="F286">
        <v>0</v>
      </c>
      <c r="G286">
        <v>0</v>
      </c>
      <c r="H286">
        <v>26</v>
      </c>
      <c r="I286" t="s">
        <v>14</v>
      </c>
      <c r="J286" t="str">
        <f t="shared" si="12"/>
        <v>Child</v>
      </c>
      <c r="K286" t="str">
        <f t="shared" si="13"/>
        <v>Low</v>
      </c>
      <c r="L286">
        <f t="shared" si="14"/>
        <v>1</v>
      </c>
    </row>
    <row r="287" spans="1:12">
      <c r="A287">
        <v>0</v>
      </c>
      <c r="B287">
        <v>3</v>
      </c>
      <c r="C287" t="s">
        <v>306</v>
      </c>
      <c r="D287" t="s">
        <v>13</v>
      </c>
      <c r="E287">
        <v>33</v>
      </c>
      <c r="F287">
        <v>0</v>
      </c>
      <c r="G287">
        <v>0</v>
      </c>
      <c r="H287">
        <v>8.6624999999999996</v>
      </c>
      <c r="I287" t="s">
        <v>18</v>
      </c>
      <c r="J287" t="str">
        <f t="shared" si="12"/>
        <v>Adult</v>
      </c>
      <c r="K287" t="str">
        <f t="shared" si="13"/>
        <v>Low</v>
      </c>
      <c r="L287">
        <f t="shared" si="14"/>
        <v>1</v>
      </c>
    </row>
    <row r="288" spans="1:12">
      <c r="A288">
        <v>1</v>
      </c>
      <c r="B288">
        <v>3</v>
      </c>
      <c r="C288" t="s">
        <v>307</v>
      </c>
      <c r="D288" t="s">
        <v>13</v>
      </c>
      <c r="E288">
        <v>30</v>
      </c>
      <c r="F288">
        <v>0</v>
      </c>
      <c r="G288">
        <v>0</v>
      </c>
      <c r="H288">
        <v>9.5</v>
      </c>
      <c r="I288" t="s">
        <v>14</v>
      </c>
      <c r="J288" t="str">
        <f t="shared" si="12"/>
        <v>Adult</v>
      </c>
      <c r="K288" t="str">
        <f t="shared" si="13"/>
        <v>Low</v>
      </c>
      <c r="L288">
        <f t="shared" si="14"/>
        <v>1</v>
      </c>
    </row>
    <row r="289" spans="1:12">
      <c r="A289">
        <v>0</v>
      </c>
      <c r="B289">
        <v>3</v>
      </c>
      <c r="C289" t="s">
        <v>308</v>
      </c>
      <c r="D289" t="s">
        <v>13</v>
      </c>
      <c r="E289">
        <v>22</v>
      </c>
      <c r="F289">
        <v>0</v>
      </c>
      <c r="G289">
        <v>0</v>
      </c>
      <c r="H289">
        <v>7.8958000000000004</v>
      </c>
      <c r="I289" t="s">
        <v>14</v>
      </c>
      <c r="J289" t="str">
        <f t="shared" si="12"/>
        <v>Adult</v>
      </c>
      <c r="K289" t="str">
        <f t="shared" si="13"/>
        <v>Low</v>
      </c>
      <c r="L289">
        <f t="shared" si="14"/>
        <v>1</v>
      </c>
    </row>
    <row r="290" spans="1:12">
      <c r="A290">
        <v>1</v>
      </c>
      <c r="B290">
        <v>2</v>
      </c>
      <c r="C290" t="s">
        <v>309</v>
      </c>
      <c r="D290" t="s">
        <v>13</v>
      </c>
      <c r="E290">
        <v>42</v>
      </c>
      <c r="F290">
        <v>0</v>
      </c>
      <c r="G290">
        <v>0</v>
      </c>
      <c r="H290">
        <v>13</v>
      </c>
      <c r="I290" t="s">
        <v>14</v>
      </c>
      <c r="J290" t="str">
        <f t="shared" si="12"/>
        <v>Adult</v>
      </c>
      <c r="K290" t="str">
        <f t="shared" si="13"/>
        <v>Low</v>
      </c>
      <c r="L290">
        <f t="shared" si="14"/>
        <v>1</v>
      </c>
    </row>
    <row r="291" spans="1:12">
      <c r="A291">
        <v>1</v>
      </c>
      <c r="B291">
        <v>3</v>
      </c>
      <c r="C291" t="s">
        <v>310</v>
      </c>
      <c r="D291" t="s">
        <v>17</v>
      </c>
      <c r="E291">
        <v>22</v>
      </c>
      <c r="F291">
        <v>0</v>
      </c>
      <c r="G291">
        <v>0</v>
      </c>
      <c r="H291">
        <v>7.75</v>
      </c>
      <c r="I291" t="s">
        <v>26</v>
      </c>
      <c r="J291" t="str">
        <f t="shared" si="12"/>
        <v>Adult</v>
      </c>
      <c r="K291" t="str">
        <f t="shared" si="13"/>
        <v>Low</v>
      </c>
      <c r="L291">
        <f t="shared" si="14"/>
        <v>1</v>
      </c>
    </row>
    <row r="292" spans="1:12">
      <c r="A292">
        <v>1</v>
      </c>
      <c r="B292">
        <v>1</v>
      </c>
      <c r="C292" t="s">
        <v>311</v>
      </c>
      <c r="D292" t="s">
        <v>17</v>
      </c>
      <c r="E292">
        <v>26</v>
      </c>
      <c r="F292">
        <v>0</v>
      </c>
      <c r="G292">
        <v>0</v>
      </c>
      <c r="H292">
        <v>78.849999999999994</v>
      </c>
      <c r="I292" t="s">
        <v>14</v>
      </c>
      <c r="J292" t="str">
        <f t="shared" si="12"/>
        <v>Adult</v>
      </c>
      <c r="K292" t="str">
        <f t="shared" si="13"/>
        <v>High</v>
      </c>
      <c r="L292">
        <f t="shared" si="14"/>
        <v>1</v>
      </c>
    </row>
    <row r="293" spans="1:12">
      <c r="A293">
        <v>1</v>
      </c>
      <c r="B293">
        <v>1</v>
      </c>
      <c r="C293" t="s">
        <v>312</v>
      </c>
      <c r="D293" t="s">
        <v>17</v>
      </c>
      <c r="E293">
        <v>19</v>
      </c>
      <c r="F293">
        <v>1</v>
      </c>
      <c r="G293">
        <v>0</v>
      </c>
      <c r="H293">
        <v>91.0792</v>
      </c>
      <c r="I293" t="s">
        <v>18</v>
      </c>
      <c r="J293" t="str">
        <f t="shared" si="12"/>
        <v>Adult</v>
      </c>
      <c r="K293" t="str">
        <f t="shared" si="13"/>
        <v>High</v>
      </c>
      <c r="L293">
        <f t="shared" si="14"/>
        <v>2</v>
      </c>
    </row>
    <row r="294" spans="1:12">
      <c r="A294">
        <v>0</v>
      </c>
      <c r="B294">
        <v>2</v>
      </c>
      <c r="C294" t="s">
        <v>313</v>
      </c>
      <c r="D294" t="s">
        <v>13</v>
      </c>
      <c r="E294">
        <v>36</v>
      </c>
      <c r="F294">
        <v>0</v>
      </c>
      <c r="G294">
        <v>0</v>
      </c>
      <c r="H294">
        <v>12.875</v>
      </c>
      <c r="I294" t="s">
        <v>18</v>
      </c>
      <c r="J294" t="str">
        <f t="shared" si="12"/>
        <v>Adult</v>
      </c>
      <c r="K294" t="str">
        <f t="shared" si="13"/>
        <v>Low</v>
      </c>
      <c r="L294">
        <f t="shared" si="14"/>
        <v>1</v>
      </c>
    </row>
    <row r="295" spans="1:12">
      <c r="A295">
        <v>0</v>
      </c>
      <c r="B295">
        <v>3</v>
      </c>
      <c r="C295" t="s">
        <v>314</v>
      </c>
      <c r="D295" t="s">
        <v>17</v>
      </c>
      <c r="E295">
        <v>24</v>
      </c>
      <c r="F295">
        <v>0</v>
      </c>
      <c r="G295">
        <v>0</v>
      </c>
      <c r="H295">
        <v>8.85</v>
      </c>
      <c r="I295" t="s">
        <v>14</v>
      </c>
      <c r="J295" t="str">
        <f t="shared" si="12"/>
        <v>Adult</v>
      </c>
      <c r="K295" t="str">
        <f t="shared" si="13"/>
        <v>Low</v>
      </c>
      <c r="L295">
        <f t="shared" si="14"/>
        <v>1</v>
      </c>
    </row>
    <row r="296" spans="1:12">
      <c r="A296">
        <v>0</v>
      </c>
      <c r="B296">
        <v>3</v>
      </c>
      <c r="C296" t="s">
        <v>315</v>
      </c>
      <c r="D296" t="s">
        <v>13</v>
      </c>
      <c r="E296">
        <v>24</v>
      </c>
      <c r="F296">
        <v>0</v>
      </c>
      <c r="G296">
        <v>0</v>
      </c>
      <c r="H296">
        <v>7.8958000000000004</v>
      </c>
      <c r="I296" t="s">
        <v>14</v>
      </c>
      <c r="J296" t="str">
        <f t="shared" si="12"/>
        <v>Adult</v>
      </c>
      <c r="K296" t="str">
        <f t="shared" si="13"/>
        <v>Low</v>
      </c>
      <c r="L296">
        <f t="shared" si="14"/>
        <v>1</v>
      </c>
    </row>
    <row r="297" spans="1:12">
      <c r="A297">
        <v>0</v>
      </c>
      <c r="B297">
        <v>1</v>
      </c>
      <c r="C297" t="s">
        <v>316</v>
      </c>
      <c r="D297" t="s">
        <v>13</v>
      </c>
      <c r="F297">
        <v>0</v>
      </c>
      <c r="G297">
        <v>0</v>
      </c>
      <c r="H297">
        <v>27.720800000000001</v>
      </c>
      <c r="I297" t="s">
        <v>18</v>
      </c>
      <c r="J297" t="str">
        <f t="shared" si="12"/>
        <v>Child</v>
      </c>
      <c r="K297" t="str">
        <f t="shared" si="13"/>
        <v>Low</v>
      </c>
      <c r="L297">
        <f t="shared" si="14"/>
        <v>1</v>
      </c>
    </row>
    <row r="298" spans="1:12">
      <c r="A298">
        <v>0</v>
      </c>
      <c r="B298">
        <v>3</v>
      </c>
      <c r="C298" t="s">
        <v>317</v>
      </c>
      <c r="D298" t="s">
        <v>13</v>
      </c>
      <c r="E298">
        <v>23.5</v>
      </c>
      <c r="F298">
        <v>0</v>
      </c>
      <c r="G298">
        <v>0</v>
      </c>
      <c r="H298">
        <v>7.2291999999999996</v>
      </c>
      <c r="I298" t="s">
        <v>18</v>
      </c>
      <c r="J298" t="str">
        <f t="shared" si="12"/>
        <v>Adult</v>
      </c>
      <c r="K298" t="str">
        <f t="shared" si="13"/>
        <v>Low</v>
      </c>
      <c r="L298">
        <f t="shared" si="14"/>
        <v>1</v>
      </c>
    </row>
    <row r="299" spans="1:12">
      <c r="A299">
        <v>0</v>
      </c>
      <c r="B299">
        <v>1</v>
      </c>
      <c r="C299" t="s">
        <v>318</v>
      </c>
      <c r="D299" t="s">
        <v>17</v>
      </c>
      <c r="E299">
        <v>2</v>
      </c>
      <c r="F299">
        <v>1</v>
      </c>
      <c r="G299">
        <v>2</v>
      </c>
      <c r="H299">
        <v>151.55000000000001</v>
      </c>
      <c r="I299" t="s">
        <v>14</v>
      </c>
      <c r="J299" t="str">
        <f t="shared" si="12"/>
        <v>Child</v>
      </c>
      <c r="K299" t="str">
        <f t="shared" si="13"/>
        <v>High</v>
      </c>
      <c r="L299">
        <f t="shared" si="14"/>
        <v>4</v>
      </c>
    </row>
    <row r="300" spans="1:12">
      <c r="A300">
        <v>1</v>
      </c>
      <c r="B300">
        <v>1</v>
      </c>
      <c r="C300" t="s">
        <v>319</v>
      </c>
      <c r="D300" t="s">
        <v>13</v>
      </c>
      <c r="F300">
        <v>0</v>
      </c>
      <c r="G300">
        <v>0</v>
      </c>
      <c r="H300">
        <v>30.5</v>
      </c>
      <c r="I300" t="s">
        <v>14</v>
      </c>
      <c r="J300" t="str">
        <f t="shared" si="12"/>
        <v>Child</v>
      </c>
      <c r="K300" t="str">
        <f t="shared" si="13"/>
        <v>Low</v>
      </c>
      <c r="L300">
        <f t="shared" si="14"/>
        <v>1</v>
      </c>
    </row>
    <row r="301" spans="1:12">
      <c r="A301">
        <v>1</v>
      </c>
      <c r="B301">
        <v>1</v>
      </c>
      <c r="C301" t="s">
        <v>320</v>
      </c>
      <c r="D301" t="s">
        <v>17</v>
      </c>
      <c r="E301">
        <v>50</v>
      </c>
      <c r="F301">
        <v>0</v>
      </c>
      <c r="G301">
        <v>1</v>
      </c>
      <c r="H301">
        <v>247.52080000000001</v>
      </c>
      <c r="I301" t="s">
        <v>18</v>
      </c>
      <c r="J301" t="str">
        <f t="shared" si="12"/>
        <v>Adult</v>
      </c>
      <c r="K301" t="str">
        <f t="shared" si="13"/>
        <v>High</v>
      </c>
      <c r="L301">
        <f t="shared" si="14"/>
        <v>2</v>
      </c>
    </row>
    <row r="302" spans="1:12">
      <c r="A302">
        <v>1</v>
      </c>
      <c r="B302">
        <v>3</v>
      </c>
      <c r="C302" t="s">
        <v>321</v>
      </c>
      <c r="D302" t="s">
        <v>17</v>
      </c>
      <c r="F302">
        <v>0</v>
      </c>
      <c r="G302">
        <v>0</v>
      </c>
      <c r="H302">
        <v>7.75</v>
      </c>
      <c r="I302" t="s">
        <v>26</v>
      </c>
      <c r="J302" t="str">
        <f t="shared" si="12"/>
        <v>Child</v>
      </c>
      <c r="K302" t="str">
        <f t="shared" si="13"/>
        <v>Low</v>
      </c>
      <c r="L302">
        <f t="shared" si="14"/>
        <v>1</v>
      </c>
    </row>
    <row r="303" spans="1:12">
      <c r="A303">
        <v>1</v>
      </c>
      <c r="B303">
        <v>3</v>
      </c>
      <c r="C303" t="s">
        <v>322</v>
      </c>
      <c r="D303" t="s">
        <v>13</v>
      </c>
      <c r="F303">
        <v>2</v>
      </c>
      <c r="G303">
        <v>0</v>
      </c>
      <c r="H303">
        <v>23.25</v>
      </c>
      <c r="I303" t="s">
        <v>26</v>
      </c>
      <c r="J303" t="str">
        <f t="shared" si="12"/>
        <v>Child</v>
      </c>
      <c r="K303" t="str">
        <f t="shared" si="13"/>
        <v>Low</v>
      </c>
      <c r="L303">
        <f t="shared" si="14"/>
        <v>3</v>
      </c>
    </row>
    <row r="304" spans="1:12">
      <c r="A304">
        <v>0</v>
      </c>
      <c r="B304">
        <v>3</v>
      </c>
      <c r="C304" t="s">
        <v>323</v>
      </c>
      <c r="D304" t="s">
        <v>13</v>
      </c>
      <c r="E304">
        <v>19</v>
      </c>
      <c r="F304">
        <v>0</v>
      </c>
      <c r="G304">
        <v>0</v>
      </c>
      <c r="H304">
        <v>0</v>
      </c>
      <c r="I304" t="s">
        <v>14</v>
      </c>
      <c r="J304" t="str">
        <f t="shared" si="12"/>
        <v>Adult</v>
      </c>
      <c r="K304" t="str">
        <f t="shared" si="13"/>
        <v>Low</v>
      </c>
      <c r="L304">
        <f t="shared" si="14"/>
        <v>1</v>
      </c>
    </row>
    <row r="305" spans="1:12">
      <c r="A305">
        <v>1</v>
      </c>
      <c r="B305">
        <v>2</v>
      </c>
      <c r="C305" t="s">
        <v>324</v>
      </c>
      <c r="D305" t="s">
        <v>17</v>
      </c>
      <c r="F305">
        <v>0</v>
      </c>
      <c r="G305">
        <v>0</v>
      </c>
      <c r="H305">
        <v>12.35</v>
      </c>
      <c r="I305" t="s">
        <v>26</v>
      </c>
      <c r="J305" t="str">
        <f t="shared" si="12"/>
        <v>Child</v>
      </c>
      <c r="K305" t="str">
        <f t="shared" si="13"/>
        <v>Low</v>
      </c>
      <c r="L305">
        <f t="shared" si="14"/>
        <v>1</v>
      </c>
    </row>
    <row r="306" spans="1:12">
      <c r="A306">
        <v>0</v>
      </c>
      <c r="B306">
        <v>3</v>
      </c>
      <c r="C306" t="s">
        <v>325</v>
      </c>
      <c r="D306" t="s">
        <v>13</v>
      </c>
      <c r="F306">
        <v>0</v>
      </c>
      <c r="G306">
        <v>0</v>
      </c>
      <c r="H306">
        <v>8.0500000000000007</v>
      </c>
      <c r="I306" t="s">
        <v>14</v>
      </c>
      <c r="J306" t="str">
        <f t="shared" si="12"/>
        <v>Child</v>
      </c>
      <c r="K306" t="str">
        <f t="shared" si="13"/>
        <v>Low</v>
      </c>
      <c r="L306">
        <f t="shared" si="14"/>
        <v>1</v>
      </c>
    </row>
    <row r="307" spans="1:12">
      <c r="A307">
        <v>1</v>
      </c>
      <c r="B307">
        <v>1</v>
      </c>
      <c r="C307" t="s">
        <v>326</v>
      </c>
      <c r="D307" t="s">
        <v>13</v>
      </c>
      <c r="E307">
        <v>0.92</v>
      </c>
      <c r="F307">
        <v>1</v>
      </c>
      <c r="G307">
        <v>2</v>
      </c>
      <c r="H307">
        <v>151.55000000000001</v>
      </c>
      <c r="I307" t="s">
        <v>14</v>
      </c>
      <c r="J307" t="str">
        <f t="shared" si="12"/>
        <v>Child</v>
      </c>
      <c r="K307" t="str">
        <f t="shared" si="13"/>
        <v>High</v>
      </c>
      <c r="L307">
        <f t="shared" si="14"/>
        <v>4</v>
      </c>
    </row>
    <row r="308" spans="1:12">
      <c r="A308">
        <v>1</v>
      </c>
      <c r="B308">
        <v>1</v>
      </c>
      <c r="C308" t="s">
        <v>327</v>
      </c>
      <c r="D308" t="s">
        <v>17</v>
      </c>
      <c r="F308">
        <v>0</v>
      </c>
      <c r="G308">
        <v>0</v>
      </c>
      <c r="H308">
        <v>110.88330000000001</v>
      </c>
      <c r="I308" t="s">
        <v>18</v>
      </c>
      <c r="J308" t="str">
        <f t="shared" si="12"/>
        <v>Child</v>
      </c>
      <c r="K308" t="str">
        <f t="shared" si="13"/>
        <v>High</v>
      </c>
      <c r="L308">
        <f t="shared" si="14"/>
        <v>1</v>
      </c>
    </row>
    <row r="309" spans="1:12">
      <c r="A309">
        <v>1</v>
      </c>
      <c r="B309">
        <v>1</v>
      </c>
      <c r="C309" t="s">
        <v>328</v>
      </c>
      <c r="D309" t="s">
        <v>17</v>
      </c>
      <c r="E309">
        <v>17</v>
      </c>
      <c r="F309">
        <v>1</v>
      </c>
      <c r="G309">
        <v>0</v>
      </c>
      <c r="H309">
        <v>108.9</v>
      </c>
      <c r="I309" t="s">
        <v>18</v>
      </c>
      <c r="J309" t="str">
        <f t="shared" si="12"/>
        <v>Child</v>
      </c>
      <c r="K309" t="str">
        <f t="shared" si="13"/>
        <v>High</v>
      </c>
      <c r="L309">
        <f t="shared" si="14"/>
        <v>2</v>
      </c>
    </row>
    <row r="310" spans="1:12">
      <c r="A310">
        <v>0</v>
      </c>
      <c r="B310">
        <v>2</v>
      </c>
      <c r="C310" t="s">
        <v>329</v>
      </c>
      <c r="D310" t="s">
        <v>13</v>
      </c>
      <c r="E310">
        <v>30</v>
      </c>
      <c r="F310">
        <v>1</v>
      </c>
      <c r="G310">
        <v>0</v>
      </c>
      <c r="H310">
        <v>24</v>
      </c>
      <c r="I310" t="s">
        <v>18</v>
      </c>
      <c r="J310" t="str">
        <f t="shared" si="12"/>
        <v>Adult</v>
      </c>
      <c r="K310" t="str">
        <f t="shared" si="13"/>
        <v>Low</v>
      </c>
      <c r="L310">
        <f t="shared" si="14"/>
        <v>2</v>
      </c>
    </row>
    <row r="311" spans="1:12">
      <c r="A311">
        <v>1</v>
      </c>
      <c r="B311">
        <v>1</v>
      </c>
      <c r="C311" t="s">
        <v>330</v>
      </c>
      <c r="D311" t="s">
        <v>17</v>
      </c>
      <c r="E311">
        <v>30</v>
      </c>
      <c r="F311">
        <v>0</v>
      </c>
      <c r="G311">
        <v>0</v>
      </c>
      <c r="H311">
        <v>56.929200000000002</v>
      </c>
      <c r="I311" t="s">
        <v>18</v>
      </c>
      <c r="J311" t="str">
        <f t="shared" si="12"/>
        <v>Adult</v>
      </c>
      <c r="K311" t="str">
        <f t="shared" si="13"/>
        <v>High</v>
      </c>
      <c r="L311">
        <f t="shared" si="14"/>
        <v>1</v>
      </c>
    </row>
    <row r="312" spans="1:12">
      <c r="A312">
        <v>1</v>
      </c>
      <c r="B312">
        <v>1</v>
      </c>
      <c r="C312" t="s">
        <v>331</v>
      </c>
      <c r="D312" t="s">
        <v>17</v>
      </c>
      <c r="E312">
        <v>24</v>
      </c>
      <c r="F312">
        <v>0</v>
      </c>
      <c r="G312">
        <v>0</v>
      </c>
      <c r="H312">
        <v>83.158299999999997</v>
      </c>
      <c r="I312" t="s">
        <v>18</v>
      </c>
      <c r="J312" t="str">
        <f t="shared" si="12"/>
        <v>Adult</v>
      </c>
      <c r="K312" t="str">
        <f t="shared" si="13"/>
        <v>High</v>
      </c>
      <c r="L312">
        <f t="shared" si="14"/>
        <v>1</v>
      </c>
    </row>
    <row r="313" spans="1:12">
      <c r="A313">
        <v>1</v>
      </c>
      <c r="B313">
        <v>1</v>
      </c>
      <c r="C313" t="s">
        <v>332</v>
      </c>
      <c r="D313" t="s">
        <v>17</v>
      </c>
      <c r="E313">
        <v>18</v>
      </c>
      <c r="F313">
        <v>2</v>
      </c>
      <c r="G313">
        <v>2</v>
      </c>
      <c r="H313">
        <v>262.375</v>
      </c>
      <c r="I313" t="s">
        <v>18</v>
      </c>
      <c r="J313" t="str">
        <f t="shared" si="12"/>
        <v>Adult</v>
      </c>
      <c r="K313" t="str">
        <f t="shared" si="13"/>
        <v>High</v>
      </c>
      <c r="L313">
        <f t="shared" si="14"/>
        <v>5</v>
      </c>
    </row>
    <row r="314" spans="1:12">
      <c r="A314">
        <v>0</v>
      </c>
      <c r="B314">
        <v>2</v>
      </c>
      <c r="C314" t="s">
        <v>333</v>
      </c>
      <c r="D314" t="s">
        <v>17</v>
      </c>
      <c r="E314">
        <v>26</v>
      </c>
      <c r="F314">
        <v>1</v>
      </c>
      <c r="G314">
        <v>1</v>
      </c>
      <c r="H314">
        <v>26</v>
      </c>
      <c r="I314" t="s">
        <v>14</v>
      </c>
      <c r="J314" t="str">
        <f t="shared" si="12"/>
        <v>Adult</v>
      </c>
      <c r="K314" t="str">
        <f t="shared" si="13"/>
        <v>Low</v>
      </c>
      <c r="L314">
        <f t="shared" si="14"/>
        <v>3</v>
      </c>
    </row>
    <row r="315" spans="1:12">
      <c r="A315">
        <v>0</v>
      </c>
      <c r="B315">
        <v>3</v>
      </c>
      <c r="C315" t="s">
        <v>334</v>
      </c>
      <c r="D315" t="s">
        <v>13</v>
      </c>
      <c r="E315">
        <v>28</v>
      </c>
      <c r="F315">
        <v>0</v>
      </c>
      <c r="G315">
        <v>0</v>
      </c>
      <c r="H315">
        <v>7.8958000000000004</v>
      </c>
      <c r="I315" t="s">
        <v>14</v>
      </c>
      <c r="J315" t="str">
        <f t="shared" si="12"/>
        <v>Adult</v>
      </c>
      <c r="K315" t="str">
        <f t="shared" si="13"/>
        <v>Low</v>
      </c>
      <c r="L315">
        <f t="shared" si="14"/>
        <v>1</v>
      </c>
    </row>
    <row r="316" spans="1:12">
      <c r="A316">
        <v>0</v>
      </c>
      <c r="B316">
        <v>2</v>
      </c>
      <c r="C316" t="s">
        <v>335</v>
      </c>
      <c r="D316" t="s">
        <v>13</v>
      </c>
      <c r="E316">
        <v>43</v>
      </c>
      <c r="F316">
        <v>1</v>
      </c>
      <c r="G316">
        <v>1</v>
      </c>
      <c r="H316">
        <v>26.25</v>
      </c>
      <c r="I316" t="s">
        <v>14</v>
      </c>
      <c r="J316" t="str">
        <f t="shared" si="12"/>
        <v>Adult</v>
      </c>
      <c r="K316" t="str">
        <f t="shared" si="13"/>
        <v>Low</v>
      </c>
      <c r="L316">
        <f t="shared" si="14"/>
        <v>3</v>
      </c>
    </row>
    <row r="317" spans="1:12">
      <c r="A317">
        <v>1</v>
      </c>
      <c r="B317">
        <v>3</v>
      </c>
      <c r="C317" t="s">
        <v>336</v>
      </c>
      <c r="D317" t="s">
        <v>17</v>
      </c>
      <c r="E317">
        <v>26</v>
      </c>
      <c r="F317">
        <v>0</v>
      </c>
      <c r="G317">
        <v>0</v>
      </c>
      <c r="H317">
        <v>7.8541999999999996</v>
      </c>
      <c r="I317" t="s">
        <v>14</v>
      </c>
      <c r="J317" t="str">
        <f t="shared" si="12"/>
        <v>Adult</v>
      </c>
      <c r="K317" t="str">
        <f t="shared" si="13"/>
        <v>Low</v>
      </c>
      <c r="L317">
        <f t="shared" si="14"/>
        <v>1</v>
      </c>
    </row>
    <row r="318" spans="1:12">
      <c r="A318">
        <v>1</v>
      </c>
      <c r="B318">
        <v>2</v>
      </c>
      <c r="C318" t="s">
        <v>337</v>
      </c>
      <c r="D318" t="s">
        <v>17</v>
      </c>
      <c r="E318">
        <v>24</v>
      </c>
      <c r="F318">
        <v>1</v>
      </c>
      <c r="G318">
        <v>0</v>
      </c>
      <c r="H318">
        <v>26</v>
      </c>
      <c r="I318" t="s">
        <v>14</v>
      </c>
      <c r="J318" t="str">
        <f t="shared" si="12"/>
        <v>Adult</v>
      </c>
      <c r="K318" t="str">
        <f t="shared" si="13"/>
        <v>Low</v>
      </c>
      <c r="L318">
        <f t="shared" si="14"/>
        <v>2</v>
      </c>
    </row>
    <row r="319" spans="1:12">
      <c r="A319">
        <v>0</v>
      </c>
      <c r="B319">
        <v>2</v>
      </c>
      <c r="C319" t="s">
        <v>338</v>
      </c>
      <c r="D319" t="s">
        <v>13</v>
      </c>
      <c r="E319">
        <v>54</v>
      </c>
      <c r="F319">
        <v>0</v>
      </c>
      <c r="G319">
        <v>0</v>
      </c>
      <c r="H319">
        <v>14</v>
      </c>
      <c r="I319" t="s">
        <v>14</v>
      </c>
      <c r="J319" t="str">
        <f t="shared" si="12"/>
        <v>Adult</v>
      </c>
      <c r="K319" t="str">
        <f t="shared" si="13"/>
        <v>Low</v>
      </c>
      <c r="L319">
        <f t="shared" si="14"/>
        <v>1</v>
      </c>
    </row>
    <row r="320" spans="1:12">
      <c r="A320">
        <v>1</v>
      </c>
      <c r="B320">
        <v>1</v>
      </c>
      <c r="C320" t="s">
        <v>339</v>
      </c>
      <c r="D320" t="s">
        <v>17</v>
      </c>
      <c r="E320">
        <v>31</v>
      </c>
      <c r="F320">
        <v>0</v>
      </c>
      <c r="G320">
        <v>2</v>
      </c>
      <c r="H320">
        <v>164.86670000000001</v>
      </c>
      <c r="I320" t="s">
        <v>14</v>
      </c>
      <c r="J320" t="str">
        <f t="shared" si="12"/>
        <v>Adult</v>
      </c>
      <c r="K320" t="str">
        <f t="shared" si="13"/>
        <v>High</v>
      </c>
      <c r="L320">
        <f t="shared" si="14"/>
        <v>3</v>
      </c>
    </row>
    <row r="321" spans="1:12">
      <c r="A321">
        <v>1</v>
      </c>
      <c r="B321">
        <v>1</v>
      </c>
      <c r="C321" t="s">
        <v>340</v>
      </c>
      <c r="D321" t="s">
        <v>17</v>
      </c>
      <c r="E321">
        <v>40</v>
      </c>
      <c r="F321">
        <v>1</v>
      </c>
      <c r="G321">
        <v>1</v>
      </c>
      <c r="H321">
        <v>134.5</v>
      </c>
      <c r="I321" t="s">
        <v>18</v>
      </c>
      <c r="J321" t="str">
        <f t="shared" si="12"/>
        <v>Adult</v>
      </c>
      <c r="K321" t="str">
        <f t="shared" si="13"/>
        <v>High</v>
      </c>
      <c r="L321">
        <f t="shared" si="14"/>
        <v>3</v>
      </c>
    </row>
    <row r="322" spans="1:12">
      <c r="A322">
        <v>0</v>
      </c>
      <c r="B322">
        <v>3</v>
      </c>
      <c r="C322" t="s">
        <v>341</v>
      </c>
      <c r="D322" t="s">
        <v>13</v>
      </c>
      <c r="E322">
        <v>22</v>
      </c>
      <c r="F322">
        <v>0</v>
      </c>
      <c r="G322">
        <v>0</v>
      </c>
      <c r="H322">
        <v>7.25</v>
      </c>
      <c r="I322" t="s">
        <v>14</v>
      </c>
      <c r="J322" t="str">
        <f t="shared" si="12"/>
        <v>Adult</v>
      </c>
      <c r="K322" t="str">
        <f t="shared" si="13"/>
        <v>Low</v>
      </c>
      <c r="L322">
        <f t="shared" si="14"/>
        <v>1</v>
      </c>
    </row>
    <row r="323" spans="1:12">
      <c r="A323">
        <v>0</v>
      </c>
      <c r="B323">
        <v>3</v>
      </c>
      <c r="C323" t="s">
        <v>342</v>
      </c>
      <c r="D323" t="s">
        <v>13</v>
      </c>
      <c r="E323">
        <v>27</v>
      </c>
      <c r="F323">
        <v>0</v>
      </c>
      <c r="G323">
        <v>0</v>
      </c>
      <c r="H323">
        <v>7.8958000000000004</v>
      </c>
      <c r="I323" t="s">
        <v>14</v>
      </c>
      <c r="J323" t="str">
        <f t="shared" ref="J323:J386" si="15">IF(E323&lt;18,"Child","Adult")</f>
        <v>Adult</v>
      </c>
      <c r="K323" t="str">
        <f t="shared" ref="K323:K386" si="16">IF(H323&gt;50,"High","Low")</f>
        <v>Low</v>
      </c>
      <c r="L323">
        <f t="shared" ref="L323:L386" si="17">F323+G323+1</f>
        <v>1</v>
      </c>
    </row>
    <row r="324" spans="1:12">
      <c r="A324">
        <v>1</v>
      </c>
      <c r="B324">
        <v>2</v>
      </c>
      <c r="C324" t="s">
        <v>343</v>
      </c>
      <c r="D324" t="s">
        <v>17</v>
      </c>
      <c r="E324">
        <v>30</v>
      </c>
      <c r="F324">
        <v>0</v>
      </c>
      <c r="G324">
        <v>0</v>
      </c>
      <c r="H324">
        <v>12.35</v>
      </c>
      <c r="I324" t="s">
        <v>26</v>
      </c>
      <c r="J324" t="str">
        <f t="shared" si="15"/>
        <v>Adult</v>
      </c>
      <c r="K324" t="str">
        <f t="shared" si="16"/>
        <v>Low</v>
      </c>
      <c r="L324">
        <f t="shared" si="17"/>
        <v>1</v>
      </c>
    </row>
    <row r="325" spans="1:12">
      <c r="A325">
        <v>1</v>
      </c>
      <c r="B325">
        <v>2</v>
      </c>
      <c r="C325" t="s">
        <v>344</v>
      </c>
      <c r="D325" t="s">
        <v>17</v>
      </c>
      <c r="E325">
        <v>22</v>
      </c>
      <c r="F325">
        <v>1</v>
      </c>
      <c r="G325">
        <v>1</v>
      </c>
      <c r="H325">
        <v>29</v>
      </c>
      <c r="I325" t="s">
        <v>14</v>
      </c>
      <c r="J325" t="str">
        <f t="shared" si="15"/>
        <v>Adult</v>
      </c>
      <c r="K325" t="str">
        <f t="shared" si="16"/>
        <v>Low</v>
      </c>
      <c r="L325">
        <f t="shared" si="17"/>
        <v>3</v>
      </c>
    </row>
    <row r="326" spans="1:12">
      <c r="A326">
        <v>0</v>
      </c>
      <c r="B326">
        <v>3</v>
      </c>
      <c r="C326" t="s">
        <v>345</v>
      </c>
      <c r="D326" t="s">
        <v>13</v>
      </c>
      <c r="F326">
        <v>8</v>
      </c>
      <c r="G326">
        <v>2</v>
      </c>
      <c r="H326">
        <v>69.55</v>
      </c>
      <c r="I326" t="s">
        <v>14</v>
      </c>
      <c r="J326" t="str">
        <f t="shared" si="15"/>
        <v>Child</v>
      </c>
      <c r="K326" t="str">
        <f t="shared" si="16"/>
        <v>High</v>
      </c>
      <c r="L326">
        <f t="shared" si="17"/>
        <v>11</v>
      </c>
    </row>
    <row r="327" spans="1:12">
      <c r="A327">
        <v>1</v>
      </c>
      <c r="B327">
        <v>1</v>
      </c>
      <c r="C327" t="s">
        <v>346</v>
      </c>
      <c r="D327" t="s">
        <v>17</v>
      </c>
      <c r="E327">
        <v>36</v>
      </c>
      <c r="F327">
        <v>0</v>
      </c>
      <c r="G327">
        <v>0</v>
      </c>
      <c r="H327">
        <v>135.63329999999999</v>
      </c>
      <c r="I327" t="s">
        <v>18</v>
      </c>
      <c r="J327" t="str">
        <f t="shared" si="15"/>
        <v>Adult</v>
      </c>
      <c r="K327" t="str">
        <f t="shared" si="16"/>
        <v>High</v>
      </c>
      <c r="L327">
        <f t="shared" si="17"/>
        <v>1</v>
      </c>
    </row>
    <row r="328" spans="1:12">
      <c r="A328">
        <v>0</v>
      </c>
      <c r="B328">
        <v>3</v>
      </c>
      <c r="C328" t="s">
        <v>347</v>
      </c>
      <c r="D328" t="s">
        <v>13</v>
      </c>
      <c r="E328">
        <v>61</v>
      </c>
      <c r="F328">
        <v>0</v>
      </c>
      <c r="G328">
        <v>0</v>
      </c>
      <c r="H328">
        <v>6.2374999999999998</v>
      </c>
      <c r="I328" t="s">
        <v>14</v>
      </c>
      <c r="J328" t="str">
        <f t="shared" si="15"/>
        <v>Adult</v>
      </c>
      <c r="K328" t="str">
        <f t="shared" si="16"/>
        <v>Low</v>
      </c>
      <c r="L328">
        <f t="shared" si="17"/>
        <v>1</v>
      </c>
    </row>
    <row r="329" spans="1:12">
      <c r="A329">
        <v>1</v>
      </c>
      <c r="B329">
        <v>2</v>
      </c>
      <c r="C329" t="s">
        <v>348</v>
      </c>
      <c r="D329" t="s">
        <v>17</v>
      </c>
      <c r="E329">
        <v>36</v>
      </c>
      <c r="F329">
        <v>0</v>
      </c>
      <c r="G329">
        <v>0</v>
      </c>
      <c r="H329">
        <v>13</v>
      </c>
      <c r="I329" t="s">
        <v>14</v>
      </c>
      <c r="J329" t="str">
        <f t="shared" si="15"/>
        <v>Adult</v>
      </c>
      <c r="K329" t="str">
        <f t="shared" si="16"/>
        <v>Low</v>
      </c>
      <c r="L329">
        <f t="shared" si="17"/>
        <v>1</v>
      </c>
    </row>
    <row r="330" spans="1:12">
      <c r="A330">
        <v>1</v>
      </c>
      <c r="B330">
        <v>3</v>
      </c>
      <c r="C330" t="s">
        <v>349</v>
      </c>
      <c r="D330" t="s">
        <v>17</v>
      </c>
      <c r="E330">
        <v>31</v>
      </c>
      <c r="F330">
        <v>1</v>
      </c>
      <c r="G330">
        <v>1</v>
      </c>
      <c r="H330">
        <v>20.524999999999999</v>
      </c>
      <c r="I330" t="s">
        <v>14</v>
      </c>
      <c r="J330" t="str">
        <f t="shared" si="15"/>
        <v>Adult</v>
      </c>
      <c r="K330" t="str">
        <f t="shared" si="16"/>
        <v>Low</v>
      </c>
      <c r="L330">
        <f t="shared" si="17"/>
        <v>3</v>
      </c>
    </row>
    <row r="331" spans="1:12">
      <c r="A331">
        <v>1</v>
      </c>
      <c r="B331">
        <v>1</v>
      </c>
      <c r="C331" t="s">
        <v>350</v>
      </c>
      <c r="D331" t="s">
        <v>17</v>
      </c>
      <c r="E331">
        <v>16</v>
      </c>
      <c r="F331">
        <v>0</v>
      </c>
      <c r="G331">
        <v>1</v>
      </c>
      <c r="H331">
        <v>57.979199999999999</v>
      </c>
      <c r="I331" t="s">
        <v>18</v>
      </c>
      <c r="J331" t="str">
        <f t="shared" si="15"/>
        <v>Child</v>
      </c>
      <c r="K331" t="str">
        <f t="shared" si="16"/>
        <v>High</v>
      </c>
      <c r="L331">
        <f t="shared" si="17"/>
        <v>2</v>
      </c>
    </row>
    <row r="332" spans="1:12">
      <c r="A332">
        <v>1</v>
      </c>
      <c r="B332">
        <v>3</v>
      </c>
      <c r="C332" t="s">
        <v>351</v>
      </c>
      <c r="D332" t="s">
        <v>17</v>
      </c>
      <c r="F332">
        <v>2</v>
      </c>
      <c r="G332">
        <v>0</v>
      </c>
      <c r="H332">
        <v>23.25</v>
      </c>
      <c r="I332" t="s">
        <v>26</v>
      </c>
      <c r="J332" t="str">
        <f t="shared" si="15"/>
        <v>Child</v>
      </c>
      <c r="K332" t="str">
        <f t="shared" si="16"/>
        <v>Low</v>
      </c>
      <c r="L332">
        <f t="shared" si="17"/>
        <v>3</v>
      </c>
    </row>
    <row r="333" spans="1:12">
      <c r="A333">
        <v>0</v>
      </c>
      <c r="B333">
        <v>1</v>
      </c>
      <c r="C333" t="s">
        <v>352</v>
      </c>
      <c r="D333" t="s">
        <v>13</v>
      </c>
      <c r="E333">
        <v>45.5</v>
      </c>
      <c r="F333">
        <v>0</v>
      </c>
      <c r="G333">
        <v>0</v>
      </c>
      <c r="H333">
        <v>28.5</v>
      </c>
      <c r="I333" t="s">
        <v>14</v>
      </c>
      <c r="J333" t="str">
        <f t="shared" si="15"/>
        <v>Adult</v>
      </c>
      <c r="K333" t="str">
        <f t="shared" si="16"/>
        <v>Low</v>
      </c>
      <c r="L333">
        <f t="shared" si="17"/>
        <v>1</v>
      </c>
    </row>
    <row r="334" spans="1:12">
      <c r="A334">
        <v>0</v>
      </c>
      <c r="B334">
        <v>1</v>
      </c>
      <c r="C334" t="s">
        <v>353</v>
      </c>
      <c r="D334" t="s">
        <v>13</v>
      </c>
      <c r="E334">
        <v>38</v>
      </c>
      <c r="F334">
        <v>0</v>
      </c>
      <c r="G334">
        <v>1</v>
      </c>
      <c r="H334">
        <v>153.46250000000001</v>
      </c>
      <c r="I334" t="s">
        <v>14</v>
      </c>
      <c r="J334" t="str">
        <f t="shared" si="15"/>
        <v>Adult</v>
      </c>
      <c r="K334" t="str">
        <f t="shared" si="16"/>
        <v>High</v>
      </c>
      <c r="L334">
        <f t="shared" si="17"/>
        <v>2</v>
      </c>
    </row>
    <row r="335" spans="1:12">
      <c r="A335">
        <v>0</v>
      </c>
      <c r="B335">
        <v>3</v>
      </c>
      <c r="C335" t="s">
        <v>354</v>
      </c>
      <c r="D335" t="s">
        <v>13</v>
      </c>
      <c r="E335">
        <v>16</v>
      </c>
      <c r="F335">
        <v>2</v>
      </c>
      <c r="G335">
        <v>0</v>
      </c>
      <c r="H335">
        <v>18</v>
      </c>
      <c r="I335" t="s">
        <v>14</v>
      </c>
      <c r="J335" t="str">
        <f t="shared" si="15"/>
        <v>Child</v>
      </c>
      <c r="K335" t="str">
        <f t="shared" si="16"/>
        <v>Low</v>
      </c>
      <c r="L335">
        <f t="shared" si="17"/>
        <v>3</v>
      </c>
    </row>
    <row r="336" spans="1:12">
      <c r="A336">
        <v>1</v>
      </c>
      <c r="B336">
        <v>1</v>
      </c>
      <c r="C336" t="s">
        <v>355</v>
      </c>
      <c r="D336" t="s">
        <v>17</v>
      </c>
      <c r="F336">
        <v>1</v>
      </c>
      <c r="G336">
        <v>0</v>
      </c>
      <c r="H336">
        <v>133.65</v>
      </c>
      <c r="I336" t="s">
        <v>14</v>
      </c>
      <c r="J336" t="str">
        <f t="shared" si="15"/>
        <v>Child</v>
      </c>
      <c r="K336" t="str">
        <f t="shared" si="16"/>
        <v>High</v>
      </c>
      <c r="L336">
        <f t="shared" si="17"/>
        <v>2</v>
      </c>
    </row>
    <row r="337" spans="1:12">
      <c r="A337">
        <v>0</v>
      </c>
      <c r="B337">
        <v>3</v>
      </c>
      <c r="C337" t="s">
        <v>356</v>
      </c>
      <c r="D337" t="s">
        <v>13</v>
      </c>
      <c r="F337">
        <v>0</v>
      </c>
      <c r="G337">
        <v>0</v>
      </c>
      <c r="H337">
        <v>7.8958000000000004</v>
      </c>
      <c r="I337" t="s">
        <v>14</v>
      </c>
      <c r="J337" t="str">
        <f t="shared" si="15"/>
        <v>Child</v>
      </c>
      <c r="K337" t="str">
        <f t="shared" si="16"/>
        <v>Low</v>
      </c>
      <c r="L337">
        <f t="shared" si="17"/>
        <v>1</v>
      </c>
    </row>
    <row r="338" spans="1:12">
      <c r="A338">
        <v>0</v>
      </c>
      <c r="B338">
        <v>1</v>
      </c>
      <c r="C338" t="s">
        <v>357</v>
      </c>
      <c r="D338" t="s">
        <v>13</v>
      </c>
      <c r="E338">
        <v>29</v>
      </c>
      <c r="F338">
        <v>1</v>
      </c>
      <c r="G338">
        <v>0</v>
      </c>
      <c r="H338">
        <v>66.599999999999994</v>
      </c>
      <c r="I338" t="s">
        <v>14</v>
      </c>
      <c r="J338" t="str">
        <f t="shared" si="15"/>
        <v>Adult</v>
      </c>
      <c r="K338" t="str">
        <f t="shared" si="16"/>
        <v>High</v>
      </c>
      <c r="L338">
        <f t="shared" si="17"/>
        <v>2</v>
      </c>
    </row>
    <row r="339" spans="1:12">
      <c r="A339">
        <v>1</v>
      </c>
      <c r="B339">
        <v>1</v>
      </c>
      <c r="C339" t="s">
        <v>358</v>
      </c>
      <c r="D339" t="s">
        <v>17</v>
      </c>
      <c r="E339">
        <v>41</v>
      </c>
      <c r="F339">
        <v>0</v>
      </c>
      <c r="G339">
        <v>0</v>
      </c>
      <c r="H339">
        <v>134.5</v>
      </c>
      <c r="I339" t="s">
        <v>18</v>
      </c>
      <c r="J339" t="str">
        <f t="shared" si="15"/>
        <v>Adult</v>
      </c>
      <c r="K339" t="str">
        <f t="shared" si="16"/>
        <v>High</v>
      </c>
      <c r="L339">
        <f t="shared" si="17"/>
        <v>1</v>
      </c>
    </row>
    <row r="340" spans="1:12">
      <c r="A340">
        <v>1</v>
      </c>
      <c r="B340">
        <v>3</v>
      </c>
      <c r="C340" t="s">
        <v>359</v>
      </c>
      <c r="D340" t="s">
        <v>13</v>
      </c>
      <c r="E340">
        <v>45</v>
      </c>
      <c r="F340">
        <v>0</v>
      </c>
      <c r="G340">
        <v>0</v>
      </c>
      <c r="H340">
        <v>8.0500000000000007</v>
      </c>
      <c r="I340" t="s">
        <v>14</v>
      </c>
      <c r="J340" t="str">
        <f t="shared" si="15"/>
        <v>Adult</v>
      </c>
      <c r="K340" t="str">
        <f t="shared" si="16"/>
        <v>Low</v>
      </c>
      <c r="L340">
        <f t="shared" si="17"/>
        <v>1</v>
      </c>
    </row>
    <row r="341" spans="1:12">
      <c r="A341">
        <v>0</v>
      </c>
      <c r="B341">
        <v>1</v>
      </c>
      <c r="C341" t="s">
        <v>360</v>
      </c>
      <c r="D341" t="s">
        <v>13</v>
      </c>
      <c r="E341">
        <v>45</v>
      </c>
      <c r="F341">
        <v>0</v>
      </c>
      <c r="G341">
        <v>0</v>
      </c>
      <c r="H341">
        <v>35.5</v>
      </c>
      <c r="I341" t="s">
        <v>14</v>
      </c>
      <c r="J341" t="str">
        <f t="shared" si="15"/>
        <v>Adult</v>
      </c>
      <c r="K341" t="str">
        <f t="shared" si="16"/>
        <v>Low</v>
      </c>
      <c r="L341">
        <f t="shared" si="17"/>
        <v>1</v>
      </c>
    </row>
    <row r="342" spans="1:12">
      <c r="A342">
        <v>1</v>
      </c>
      <c r="B342">
        <v>2</v>
      </c>
      <c r="C342" t="s">
        <v>361</v>
      </c>
      <c r="D342" t="s">
        <v>13</v>
      </c>
      <c r="E342">
        <v>2</v>
      </c>
      <c r="F342">
        <v>1</v>
      </c>
      <c r="G342">
        <v>1</v>
      </c>
      <c r="H342">
        <v>26</v>
      </c>
      <c r="I342" t="s">
        <v>14</v>
      </c>
      <c r="J342" t="str">
        <f t="shared" si="15"/>
        <v>Child</v>
      </c>
      <c r="K342" t="str">
        <f t="shared" si="16"/>
        <v>Low</v>
      </c>
      <c r="L342">
        <f t="shared" si="17"/>
        <v>3</v>
      </c>
    </row>
    <row r="343" spans="1:12">
      <c r="A343">
        <v>1</v>
      </c>
      <c r="B343">
        <v>1</v>
      </c>
      <c r="C343" t="s">
        <v>362</v>
      </c>
      <c r="D343" t="s">
        <v>17</v>
      </c>
      <c r="E343">
        <v>24</v>
      </c>
      <c r="F343">
        <v>3</v>
      </c>
      <c r="G343">
        <v>2</v>
      </c>
      <c r="H343">
        <v>263</v>
      </c>
      <c r="I343" t="s">
        <v>14</v>
      </c>
      <c r="J343" t="str">
        <f t="shared" si="15"/>
        <v>Adult</v>
      </c>
      <c r="K343" t="str">
        <f t="shared" si="16"/>
        <v>High</v>
      </c>
      <c r="L343">
        <f t="shared" si="17"/>
        <v>6</v>
      </c>
    </row>
    <row r="344" spans="1:12">
      <c r="A344">
        <v>0</v>
      </c>
      <c r="B344">
        <v>2</v>
      </c>
      <c r="C344" t="s">
        <v>363</v>
      </c>
      <c r="D344" t="s">
        <v>13</v>
      </c>
      <c r="E344">
        <v>28</v>
      </c>
      <c r="F344">
        <v>0</v>
      </c>
      <c r="G344">
        <v>0</v>
      </c>
      <c r="H344">
        <v>13</v>
      </c>
      <c r="I344" t="s">
        <v>14</v>
      </c>
      <c r="J344" t="str">
        <f t="shared" si="15"/>
        <v>Adult</v>
      </c>
      <c r="K344" t="str">
        <f t="shared" si="16"/>
        <v>Low</v>
      </c>
      <c r="L344">
        <f t="shared" si="17"/>
        <v>1</v>
      </c>
    </row>
    <row r="345" spans="1:12">
      <c r="A345">
        <v>0</v>
      </c>
      <c r="B345">
        <v>2</v>
      </c>
      <c r="C345" t="s">
        <v>364</v>
      </c>
      <c r="D345" t="s">
        <v>13</v>
      </c>
      <c r="E345">
        <v>25</v>
      </c>
      <c r="F345">
        <v>0</v>
      </c>
      <c r="G345">
        <v>0</v>
      </c>
      <c r="H345">
        <v>13</v>
      </c>
      <c r="I345" t="s">
        <v>14</v>
      </c>
      <c r="J345" t="str">
        <f t="shared" si="15"/>
        <v>Adult</v>
      </c>
      <c r="K345" t="str">
        <f t="shared" si="16"/>
        <v>Low</v>
      </c>
      <c r="L345">
        <f t="shared" si="17"/>
        <v>1</v>
      </c>
    </row>
    <row r="346" spans="1:12">
      <c r="A346">
        <v>0</v>
      </c>
      <c r="B346">
        <v>2</v>
      </c>
      <c r="C346" t="s">
        <v>365</v>
      </c>
      <c r="D346" t="s">
        <v>13</v>
      </c>
      <c r="E346">
        <v>36</v>
      </c>
      <c r="F346">
        <v>0</v>
      </c>
      <c r="G346">
        <v>0</v>
      </c>
      <c r="H346">
        <v>13</v>
      </c>
      <c r="I346" t="s">
        <v>14</v>
      </c>
      <c r="J346" t="str">
        <f t="shared" si="15"/>
        <v>Adult</v>
      </c>
      <c r="K346" t="str">
        <f t="shared" si="16"/>
        <v>Low</v>
      </c>
      <c r="L346">
        <f t="shared" si="17"/>
        <v>1</v>
      </c>
    </row>
    <row r="347" spans="1:12">
      <c r="A347">
        <v>1</v>
      </c>
      <c r="B347">
        <v>2</v>
      </c>
      <c r="C347" t="s">
        <v>366</v>
      </c>
      <c r="D347" t="s">
        <v>17</v>
      </c>
      <c r="E347">
        <v>24</v>
      </c>
      <c r="F347">
        <v>0</v>
      </c>
      <c r="G347">
        <v>0</v>
      </c>
      <c r="H347">
        <v>13</v>
      </c>
      <c r="I347" t="s">
        <v>14</v>
      </c>
      <c r="J347" t="str">
        <f t="shared" si="15"/>
        <v>Adult</v>
      </c>
      <c r="K347" t="str">
        <f t="shared" si="16"/>
        <v>Low</v>
      </c>
      <c r="L347">
        <f t="shared" si="17"/>
        <v>1</v>
      </c>
    </row>
    <row r="348" spans="1:12">
      <c r="A348">
        <v>1</v>
      </c>
      <c r="B348">
        <v>2</v>
      </c>
      <c r="C348" t="s">
        <v>367</v>
      </c>
      <c r="D348" t="s">
        <v>17</v>
      </c>
      <c r="E348">
        <v>40</v>
      </c>
      <c r="F348">
        <v>0</v>
      </c>
      <c r="G348">
        <v>0</v>
      </c>
      <c r="H348">
        <v>13</v>
      </c>
      <c r="I348" t="s">
        <v>14</v>
      </c>
      <c r="J348" t="str">
        <f t="shared" si="15"/>
        <v>Adult</v>
      </c>
      <c r="K348" t="str">
        <f t="shared" si="16"/>
        <v>Low</v>
      </c>
      <c r="L348">
        <f t="shared" si="17"/>
        <v>1</v>
      </c>
    </row>
    <row r="349" spans="1:12">
      <c r="A349">
        <v>1</v>
      </c>
      <c r="B349">
        <v>3</v>
      </c>
      <c r="C349" t="s">
        <v>368</v>
      </c>
      <c r="D349" t="s">
        <v>17</v>
      </c>
      <c r="F349">
        <v>1</v>
      </c>
      <c r="G349">
        <v>0</v>
      </c>
      <c r="H349">
        <v>16.100000000000001</v>
      </c>
      <c r="I349" t="s">
        <v>14</v>
      </c>
      <c r="J349" t="str">
        <f t="shared" si="15"/>
        <v>Child</v>
      </c>
      <c r="K349" t="str">
        <f t="shared" si="16"/>
        <v>Low</v>
      </c>
      <c r="L349">
        <f t="shared" si="17"/>
        <v>2</v>
      </c>
    </row>
    <row r="350" spans="1:12">
      <c r="A350">
        <v>1</v>
      </c>
      <c r="B350">
        <v>3</v>
      </c>
      <c r="C350" t="s">
        <v>369</v>
      </c>
      <c r="D350" t="s">
        <v>13</v>
      </c>
      <c r="E350">
        <v>3</v>
      </c>
      <c r="F350">
        <v>1</v>
      </c>
      <c r="G350">
        <v>1</v>
      </c>
      <c r="H350">
        <v>15.9</v>
      </c>
      <c r="I350" t="s">
        <v>14</v>
      </c>
      <c r="J350" t="str">
        <f t="shared" si="15"/>
        <v>Child</v>
      </c>
      <c r="K350" t="str">
        <f t="shared" si="16"/>
        <v>Low</v>
      </c>
      <c r="L350">
        <f t="shared" si="17"/>
        <v>3</v>
      </c>
    </row>
    <row r="351" spans="1:12">
      <c r="A351">
        <v>0</v>
      </c>
      <c r="B351">
        <v>3</v>
      </c>
      <c r="C351" t="s">
        <v>370</v>
      </c>
      <c r="D351" t="s">
        <v>13</v>
      </c>
      <c r="E351">
        <v>42</v>
      </c>
      <c r="F351">
        <v>0</v>
      </c>
      <c r="G351">
        <v>0</v>
      </c>
      <c r="H351">
        <v>8.6624999999999996</v>
      </c>
      <c r="I351" t="s">
        <v>14</v>
      </c>
      <c r="J351" t="str">
        <f t="shared" si="15"/>
        <v>Adult</v>
      </c>
      <c r="K351" t="str">
        <f t="shared" si="16"/>
        <v>Low</v>
      </c>
      <c r="L351">
        <f t="shared" si="17"/>
        <v>1</v>
      </c>
    </row>
    <row r="352" spans="1:12">
      <c r="A352">
        <v>0</v>
      </c>
      <c r="B352">
        <v>3</v>
      </c>
      <c r="C352" t="s">
        <v>371</v>
      </c>
      <c r="D352" t="s">
        <v>13</v>
      </c>
      <c r="E352">
        <v>23</v>
      </c>
      <c r="F352">
        <v>0</v>
      </c>
      <c r="G352">
        <v>0</v>
      </c>
      <c r="H352">
        <v>9.2249999999999996</v>
      </c>
      <c r="I352" t="s">
        <v>14</v>
      </c>
      <c r="J352" t="str">
        <f t="shared" si="15"/>
        <v>Adult</v>
      </c>
      <c r="K352" t="str">
        <f t="shared" si="16"/>
        <v>Low</v>
      </c>
      <c r="L352">
        <f t="shared" si="17"/>
        <v>1</v>
      </c>
    </row>
    <row r="353" spans="1:12">
      <c r="A353">
        <v>0</v>
      </c>
      <c r="B353">
        <v>1</v>
      </c>
      <c r="C353" t="s">
        <v>372</v>
      </c>
      <c r="D353" t="s">
        <v>13</v>
      </c>
      <c r="F353">
        <v>0</v>
      </c>
      <c r="G353">
        <v>0</v>
      </c>
      <c r="H353">
        <v>35</v>
      </c>
      <c r="I353" t="s">
        <v>14</v>
      </c>
      <c r="J353" t="str">
        <f t="shared" si="15"/>
        <v>Child</v>
      </c>
      <c r="K353" t="str">
        <f t="shared" si="16"/>
        <v>Low</v>
      </c>
      <c r="L353">
        <f t="shared" si="17"/>
        <v>1</v>
      </c>
    </row>
    <row r="354" spans="1:12">
      <c r="A354">
        <v>0</v>
      </c>
      <c r="B354">
        <v>3</v>
      </c>
      <c r="C354" t="s">
        <v>373</v>
      </c>
      <c r="D354" t="s">
        <v>13</v>
      </c>
      <c r="E354">
        <v>15</v>
      </c>
      <c r="F354">
        <v>1</v>
      </c>
      <c r="G354">
        <v>1</v>
      </c>
      <c r="H354">
        <v>7.2291999999999996</v>
      </c>
      <c r="I354" t="s">
        <v>18</v>
      </c>
      <c r="J354" t="str">
        <f t="shared" si="15"/>
        <v>Child</v>
      </c>
      <c r="K354" t="str">
        <f t="shared" si="16"/>
        <v>Low</v>
      </c>
      <c r="L354">
        <f t="shared" si="17"/>
        <v>3</v>
      </c>
    </row>
    <row r="355" spans="1:12">
      <c r="A355">
        <v>0</v>
      </c>
      <c r="B355">
        <v>3</v>
      </c>
      <c r="C355" t="s">
        <v>374</v>
      </c>
      <c r="D355" t="s">
        <v>13</v>
      </c>
      <c r="E355">
        <v>25</v>
      </c>
      <c r="F355">
        <v>1</v>
      </c>
      <c r="G355">
        <v>0</v>
      </c>
      <c r="H355">
        <v>17.8</v>
      </c>
      <c r="I355" t="s">
        <v>14</v>
      </c>
      <c r="J355" t="str">
        <f t="shared" si="15"/>
        <v>Adult</v>
      </c>
      <c r="K355" t="str">
        <f t="shared" si="16"/>
        <v>Low</v>
      </c>
      <c r="L355">
        <f t="shared" si="17"/>
        <v>2</v>
      </c>
    </row>
    <row r="356" spans="1:12">
      <c r="A356">
        <v>0</v>
      </c>
      <c r="B356">
        <v>3</v>
      </c>
      <c r="C356" t="s">
        <v>375</v>
      </c>
      <c r="D356" t="s">
        <v>13</v>
      </c>
      <c r="F356">
        <v>0</v>
      </c>
      <c r="G356">
        <v>0</v>
      </c>
      <c r="H356">
        <v>7.2249999999999996</v>
      </c>
      <c r="I356" t="s">
        <v>18</v>
      </c>
      <c r="J356" t="str">
        <f t="shared" si="15"/>
        <v>Child</v>
      </c>
      <c r="K356" t="str">
        <f t="shared" si="16"/>
        <v>Low</v>
      </c>
      <c r="L356">
        <f t="shared" si="17"/>
        <v>1</v>
      </c>
    </row>
    <row r="357" spans="1:12">
      <c r="A357">
        <v>0</v>
      </c>
      <c r="B357">
        <v>3</v>
      </c>
      <c r="C357" t="s">
        <v>376</v>
      </c>
      <c r="D357" t="s">
        <v>13</v>
      </c>
      <c r="E357">
        <v>28</v>
      </c>
      <c r="F357">
        <v>0</v>
      </c>
      <c r="G357">
        <v>0</v>
      </c>
      <c r="H357">
        <v>9.5</v>
      </c>
      <c r="I357" t="s">
        <v>14</v>
      </c>
      <c r="J357" t="str">
        <f t="shared" si="15"/>
        <v>Adult</v>
      </c>
      <c r="K357" t="str">
        <f t="shared" si="16"/>
        <v>Low</v>
      </c>
      <c r="L357">
        <f t="shared" si="17"/>
        <v>1</v>
      </c>
    </row>
    <row r="358" spans="1:12">
      <c r="A358">
        <v>1</v>
      </c>
      <c r="B358">
        <v>1</v>
      </c>
      <c r="C358" t="s">
        <v>377</v>
      </c>
      <c r="D358" t="s">
        <v>17</v>
      </c>
      <c r="E358">
        <v>22</v>
      </c>
      <c r="F358">
        <v>0</v>
      </c>
      <c r="G358">
        <v>1</v>
      </c>
      <c r="H358">
        <v>55</v>
      </c>
      <c r="I358" t="s">
        <v>14</v>
      </c>
      <c r="J358" t="str">
        <f t="shared" si="15"/>
        <v>Adult</v>
      </c>
      <c r="K358" t="str">
        <f t="shared" si="16"/>
        <v>High</v>
      </c>
      <c r="L358">
        <f t="shared" si="17"/>
        <v>2</v>
      </c>
    </row>
    <row r="359" spans="1:12">
      <c r="A359">
        <v>0</v>
      </c>
      <c r="B359">
        <v>2</v>
      </c>
      <c r="C359" t="s">
        <v>378</v>
      </c>
      <c r="D359" t="s">
        <v>17</v>
      </c>
      <c r="E359">
        <v>38</v>
      </c>
      <c r="F359">
        <v>0</v>
      </c>
      <c r="G359">
        <v>0</v>
      </c>
      <c r="H359">
        <v>13</v>
      </c>
      <c r="I359" t="s">
        <v>14</v>
      </c>
      <c r="J359" t="str">
        <f t="shared" si="15"/>
        <v>Adult</v>
      </c>
      <c r="K359" t="str">
        <f t="shared" si="16"/>
        <v>Low</v>
      </c>
      <c r="L359">
        <f t="shared" si="17"/>
        <v>1</v>
      </c>
    </row>
    <row r="360" spans="1:12">
      <c r="A360">
        <v>1</v>
      </c>
      <c r="B360">
        <v>3</v>
      </c>
      <c r="C360" t="s">
        <v>379</v>
      </c>
      <c r="D360" t="s">
        <v>17</v>
      </c>
      <c r="F360">
        <v>0</v>
      </c>
      <c r="G360">
        <v>0</v>
      </c>
      <c r="H360">
        <v>7.8792</v>
      </c>
      <c r="I360" t="s">
        <v>26</v>
      </c>
      <c r="J360" t="str">
        <f t="shared" si="15"/>
        <v>Child</v>
      </c>
      <c r="K360" t="str">
        <f t="shared" si="16"/>
        <v>Low</v>
      </c>
      <c r="L360">
        <f t="shared" si="17"/>
        <v>1</v>
      </c>
    </row>
    <row r="361" spans="1:12">
      <c r="A361">
        <v>1</v>
      </c>
      <c r="B361">
        <v>3</v>
      </c>
      <c r="C361" t="s">
        <v>380</v>
      </c>
      <c r="D361" t="s">
        <v>17</v>
      </c>
      <c r="F361">
        <v>0</v>
      </c>
      <c r="G361">
        <v>0</v>
      </c>
      <c r="H361">
        <v>7.8792</v>
      </c>
      <c r="I361" t="s">
        <v>26</v>
      </c>
      <c r="J361" t="str">
        <f t="shared" si="15"/>
        <v>Child</v>
      </c>
      <c r="K361" t="str">
        <f t="shared" si="16"/>
        <v>Low</v>
      </c>
      <c r="L361">
        <f t="shared" si="17"/>
        <v>1</v>
      </c>
    </row>
    <row r="362" spans="1:12">
      <c r="A362">
        <v>0</v>
      </c>
      <c r="B362">
        <v>3</v>
      </c>
      <c r="C362" t="s">
        <v>381</v>
      </c>
      <c r="D362" t="s">
        <v>13</v>
      </c>
      <c r="E362">
        <v>40</v>
      </c>
      <c r="F362">
        <v>1</v>
      </c>
      <c r="G362">
        <v>4</v>
      </c>
      <c r="H362">
        <v>27.9</v>
      </c>
      <c r="I362" t="s">
        <v>14</v>
      </c>
      <c r="J362" t="str">
        <f t="shared" si="15"/>
        <v>Adult</v>
      </c>
      <c r="K362" t="str">
        <f t="shared" si="16"/>
        <v>Low</v>
      </c>
      <c r="L362">
        <f t="shared" si="17"/>
        <v>6</v>
      </c>
    </row>
    <row r="363" spans="1:12">
      <c r="A363">
        <v>0</v>
      </c>
      <c r="B363">
        <v>2</v>
      </c>
      <c r="C363" t="s">
        <v>382</v>
      </c>
      <c r="D363" t="s">
        <v>13</v>
      </c>
      <c r="E363">
        <v>29</v>
      </c>
      <c r="F363">
        <v>1</v>
      </c>
      <c r="G363">
        <v>0</v>
      </c>
      <c r="H363">
        <v>27.720800000000001</v>
      </c>
      <c r="I363" t="s">
        <v>18</v>
      </c>
      <c r="J363" t="str">
        <f t="shared" si="15"/>
        <v>Adult</v>
      </c>
      <c r="K363" t="str">
        <f t="shared" si="16"/>
        <v>Low</v>
      </c>
      <c r="L363">
        <f t="shared" si="17"/>
        <v>2</v>
      </c>
    </row>
    <row r="364" spans="1:12">
      <c r="A364">
        <v>0</v>
      </c>
      <c r="B364">
        <v>3</v>
      </c>
      <c r="C364" t="s">
        <v>383</v>
      </c>
      <c r="D364" t="s">
        <v>17</v>
      </c>
      <c r="E364">
        <v>45</v>
      </c>
      <c r="F364">
        <v>0</v>
      </c>
      <c r="G364">
        <v>1</v>
      </c>
      <c r="H364">
        <v>14.4542</v>
      </c>
      <c r="I364" t="s">
        <v>18</v>
      </c>
      <c r="J364" t="str">
        <f t="shared" si="15"/>
        <v>Adult</v>
      </c>
      <c r="K364" t="str">
        <f t="shared" si="16"/>
        <v>Low</v>
      </c>
      <c r="L364">
        <f t="shared" si="17"/>
        <v>2</v>
      </c>
    </row>
    <row r="365" spans="1:12">
      <c r="A365">
        <v>0</v>
      </c>
      <c r="B365">
        <v>3</v>
      </c>
      <c r="C365" t="s">
        <v>384</v>
      </c>
      <c r="D365" t="s">
        <v>13</v>
      </c>
      <c r="E365">
        <v>35</v>
      </c>
      <c r="F365">
        <v>0</v>
      </c>
      <c r="G365">
        <v>0</v>
      </c>
      <c r="H365">
        <v>7.05</v>
      </c>
      <c r="I365" t="s">
        <v>14</v>
      </c>
      <c r="J365" t="str">
        <f t="shared" si="15"/>
        <v>Adult</v>
      </c>
      <c r="K365" t="str">
        <f t="shared" si="16"/>
        <v>Low</v>
      </c>
      <c r="L365">
        <f t="shared" si="17"/>
        <v>1</v>
      </c>
    </row>
    <row r="366" spans="1:12">
      <c r="A366">
        <v>0</v>
      </c>
      <c r="B366">
        <v>3</v>
      </c>
      <c r="C366" t="s">
        <v>385</v>
      </c>
      <c r="D366" t="s">
        <v>13</v>
      </c>
      <c r="F366">
        <v>1</v>
      </c>
      <c r="G366">
        <v>0</v>
      </c>
      <c r="H366">
        <v>15.5</v>
      </c>
      <c r="I366" t="s">
        <v>26</v>
      </c>
      <c r="J366" t="str">
        <f t="shared" si="15"/>
        <v>Child</v>
      </c>
      <c r="K366" t="str">
        <f t="shared" si="16"/>
        <v>Low</v>
      </c>
      <c r="L366">
        <f t="shared" si="17"/>
        <v>2</v>
      </c>
    </row>
    <row r="367" spans="1:12">
      <c r="A367">
        <v>0</v>
      </c>
      <c r="B367">
        <v>3</v>
      </c>
      <c r="C367" t="s">
        <v>386</v>
      </c>
      <c r="D367" t="s">
        <v>13</v>
      </c>
      <c r="E367">
        <v>30</v>
      </c>
      <c r="F367">
        <v>0</v>
      </c>
      <c r="G367">
        <v>0</v>
      </c>
      <c r="H367">
        <v>7.25</v>
      </c>
      <c r="I367" t="s">
        <v>14</v>
      </c>
      <c r="J367" t="str">
        <f t="shared" si="15"/>
        <v>Adult</v>
      </c>
      <c r="K367" t="str">
        <f t="shared" si="16"/>
        <v>Low</v>
      </c>
      <c r="L367">
        <f t="shared" si="17"/>
        <v>1</v>
      </c>
    </row>
    <row r="368" spans="1:12">
      <c r="A368">
        <v>1</v>
      </c>
      <c r="B368">
        <v>1</v>
      </c>
      <c r="C368" t="s">
        <v>387</v>
      </c>
      <c r="D368" t="s">
        <v>17</v>
      </c>
      <c r="E368">
        <v>60</v>
      </c>
      <c r="F368">
        <v>1</v>
      </c>
      <c r="G368">
        <v>0</v>
      </c>
      <c r="H368">
        <v>75.25</v>
      </c>
      <c r="I368" t="s">
        <v>18</v>
      </c>
      <c r="J368" t="str">
        <f t="shared" si="15"/>
        <v>Adult</v>
      </c>
      <c r="K368" t="str">
        <f t="shared" si="16"/>
        <v>High</v>
      </c>
      <c r="L368">
        <f t="shared" si="17"/>
        <v>2</v>
      </c>
    </row>
    <row r="369" spans="1:12">
      <c r="A369">
        <v>1</v>
      </c>
      <c r="B369">
        <v>3</v>
      </c>
      <c r="C369" t="s">
        <v>388</v>
      </c>
      <c r="D369" t="s">
        <v>17</v>
      </c>
      <c r="F369">
        <v>0</v>
      </c>
      <c r="G369">
        <v>0</v>
      </c>
      <c r="H369">
        <v>7.2291999999999996</v>
      </c>
      <c r="I369" t="s">
        <v>18</v>
      </c>
      <c r="J369" t="str">
        <f t="shared" si="15"/>
        <v>Child</v>
      </c>
      <c r="K369" t="str">
        <f t="shared" si="16"/>
        <v>Low</v>
      </c>
      <c r="L369">
        <f t="shared" si="17"/>
        <v>1</v>
      </c>
    </row>
    <row r="370" spans="1:12">
      <c r="A370">
        <v>1</v>
      </c>
      <c r="B370">
        <v>3</v>
      </c>
      <c r="C370" t="s">
        <v>389</v>
      </c>
      <c r="D370" t="s">
        <v>17</v>
      </c>
      <c r="F370">
        <v>0</v>
      </c>
      <c r="G370">
        <v>0</v>
      </c>
      <c r="H370">
        <v>7.75</v>
      </c>
      <c r="I370" t="s">
        <v>26</v>
      </c>
      <c r="J370" t="str">
        <f t="shared" si="15"/>
        <v>Child</v>
      </c>
      <c r="K370" t="str">
        <f t="shared" si="16"/>
        <v>Low</v>
      </c>
      <c r="L370">
        <f t="shared" si="17"/>
        <v>1</v>
      </c>
    </row>
    <row r="371" spans="1:12">
      <c r="A371">
        <v>1</v>
      </c>
      <c r="B371">
        <v>1</v>
      </c>
      <c r="C371" t="s">
        <v>390</v>
      </c>
      <c r="D371" t="s">
        <v>17</v>
      </c>
      <c r="E371">
        <v>24</v>
      </c>
      <c r="F371">
        <v>0</v>
      </c>
      <c r="G371">
        <v>0</v>
      </c>
      <c r="H371">
        <v>69.3</v>
      </c>
      <c r="I371" t="s">
        <v>18</v>
      </c>
      <c r="J371" t="str">
        <f t="shared" si="15"/>
        <v>Adult</v>
      </c>
      <c r="K371" t="str">
        <f t="shared" si="16"/>
        <v>High</v>
      </c>
      <c r="L371">
        <f t="shared" si="17"/>
        <v>1</v>
      </c>
    </row>
    <row r="372" spans="1:12">
      <c r="A372">
        <v>1</v>
      </c>
      <c r="B372">
        <v>1</v>
      </c>
      <c r="C372" t="s">
        <v>391</v>
      </c>
      <c r="D372" t="s">
        <v>13</v>
      </c>
      <c r="E372">
        <v>25</v>
      </c>
      <c r="F372">
        <v>1</v>
      </c>
      <c r="G372">
        <v>0</v>
      </c>
      <c r="H372">
        <v>55.441699999999997</v>
      </c>
      <c r="I372" t="s">
        <v>18</v>
      </c>
      <c r="J372" t="str">
        <f t="shared" si="15"/>
        <v>Adult</v>
      </c>
      <c r="K372" t="str">
        <f t="shared" si="16"/>
        <v>High</v>
      </c>
      <c r="L372">
        <f t="shared" si="17"/>
        <v>2</v>
      </c>
    </row>
    <row r="373" spans="1:12">
      <c r="A373">
        <v>0</v>
      </c>
      <c r="B373">
        <v>3</v>
      </c>
      <c r="C373" t="s">
        <v>392</v>
      </c>
      <c r="D373" t="s">
        <v>13</v>
      </c>
      <c r="E373">
        <v>18</v>
      </c>
      <c r="F373">
        <v>1</v>
      </c>
      <c r="G373">
        <v>0</v>
      </c>
      <c r="H373">
        <v>6.4958</v>
      </c>
      <c r="I373" t="s">
        <v>14</v>
      </c>
      <c r="J373" t="str">
        <f t="shared" si="15"/>
        <v>Adult</v>
      </c>
      <c r="K373" t="str">
        <f t="shared" si="16"/>
        <v>Low</v>
      </c>
      <c r="L373">
        <f t="shared" si="17"/>
        <v>2</v>
      </c>
    </row>
    <row r="374" spans="1:12">
      <c r="A374">
        <v>0</v>
      </c>
      <c r="B374">
        <v>3</v>
      </c>
      <c r="C374" t="s">
        <v>393</v>
      </c>
      <c r="D374" t="s">
        <v>13</v>
      </c>
      <c r="E374">
        <v>19</v>
      </c>
      <c r="F374">
        <v>0</v>
      </c>
      <c r="G374">
        <v>0</v>
      </c>
      <c r="H374">
        <v>8.0500000000000007</v>
      </c>
      <c r="I374" t="s">
        <v>14</v>
      </c>
      <c r="J374" t="str">
        <f t="shared" si="15"/>
        <v>Adult</v>
      </c>
      <c r="K374" t="str">
        <f t="shared" si="16"/>
        <v>Low</v>
      </c>
      <c r="L374">
        <f t="shared" si="17"/>
        <v>1</v>
      </c>
    </row>
    <row r="375" spans="1:12">
      <c r="A375">
        <v>0</v>
      </c>
      <c r="B375">
        <v>1</v>
      </c>
      <c r="C375" t="s">
        <v>394</v>
      </c>
      <c r="D375" t="s">
        <v>13</v>
      </c>
      <c r="E375">
        <v>22</v>
      </c>
      <c r="F375">
        <v>0</v>
      </c>
      <c r="G375">
        <v>0</v>
      </c>
      <c r="H375">
        <v>135.63329999999999</v>
      </c>
      <c r="I375" t="s">
        <v>18</v>
      </c>
      <c r="J375" t="str">
        <f t="shared" si="15"/>
        <v>Adult</v>
      </c>
      <c r="K375" t="str">
        <f t="shared" si="16"/>
        <v>High</v>
      </c>
      <c r="L375">
        <f t="shared" si="17"/>
        <v>1</v>
      </c>
    </row>
    <row r="376" spans="1:12">
      <c r="A376">
        <v>0</v>
      </c>
      <c r="B376">
        <v>3</v>
      </c>
      <c r="C376" t="s">
        <v>395</v>
      </c>
      <c r="D376" t="s">
        <v>17</v>
      </c>
      <c r="E376">
        <v>3</v>
      </c>
      <c r="F376">
        <v>3</v>
      </c>
      <c r="G376">
        <v>1</v>
      </c>
      <c r="H376">
        <v>21.074999999999999</v>
      </c>
      <c r="I376" t="s">
        <v>14</v>
      </c>
      <c r="J376" t="str">
        <f t="shared" si="15"/>
        <v>Child</v>
      </c>
      <c r="K376" t="str">
        <f t="shared" si="16"/>
        <v>Low</v>
      </c>
      <c r="L376">
        <f t="shared" si="17"/>
        <v>5</v>
      </c>
    </row>
    <row r="377" spans="1:12">
      <c r="A377">
        <v>1</v>
      </c>
      <c r="B377">
        <v>1</v>
      </c>
      <c r="C377" t="s">
        <v>396</v>
      </c>
      <c r="D377" t="s">
        <v>17</v>
      </c>
      <c r="F377">
        <v>1</v>
      </c>
      <c r="G377">
        <v>0</v>
      </c>
      <c r="H377">
        <v>82.1708</v>
      </c>
      <c r="I377" t="s">
        <v>18</v>
      </c>
      <c r="J377" t="str">
        <f t="shared" si="15"/>
        <v>Child</v>
      </c>
      <c r="K377" t="str">
        <f t="shared" si="16"/>
        <v>High</v>
      </c>
      <c r="L377">
        <f t="shared" si="17"/>
        <v>2</v>
      </c>
    </row>
    <row r="378" spans="1:12">
      <c r="A378">
        <v>1</v>
      </c>
      <c r="B378">
        <v>3</v>
      </c>
      <c r="C378" t="s">
        <v>397</v>
      </c>
      <c r="D378" t="s">
        <v>17</v>
      </c>
      <c r="E378">
        <v>22</v>
      </c>
      <c r="F378">
        <v>0</v>
      </c>
      <c r="G378">
        <v>0</v>
      </c>
      <c r="H378">
        <v>7.25</v>
      </c>
      <c r="I378" t="s">
        <v>14</v>
      </c>
      <c r="J378" t="str">
        <f t="shared" si="15"/>
        <v>Adult</v>
      </c>
      <c r="K378" t="str">
        <f t="shared" si="16"/>
        <v>Low</v>
      </c>
      <c r="L378">
        <f t="shared" si="17"/>
        <v>1</v>
      </c>
    </row>
    <row r="379" spans="1:12">
      <c r="A379">
        <v>0</v>
      </c>
      <c r="B379">
        <v>1</v>
      </c>
      <c r="C379" t="s">
        <v>398</v>
      </c>
      <c r="D379" t="s">
        <v>13</v>
      </c>
      <c r="E379">
        <v>27</v>
      </c>
      <c r="F379">
        <v>0</v>
      </c>
      <c r="G379">
        <v>2</v>
      </c>
      <c r="H379">
        <v>211.5</v>
      </c>
      <c r="I379" t="s">
        <v>18</v>
      </c>
      <c r="J379" t="str">
        <f t="shared" si="15"/>
        <v>Adult</v>
      </c>
      <c r="K379" t="str">
        <f t="shared" si="16"/>
        <v>High</v>
      </c>
      <c r="L379">
        <f t="shared" si="17"/>
        <v>3</v>
      </c>
    </row>
    <row r="380" spans="1:12">
      <c r="A380">
        <v>0</v>
      </c>
      <c r="B380">
        <v>3</v>
      </c>
      <c r="C380" t="s">
        <v>399</v>
      </c>
      <c r="D380" t="s">
        <v>13</v>
      </c>
      <c r="E380">
        <v>20</v>
      </c>
      <c r="F380">
        <v>0</v>
      </c>
      <c r="G380">
        <v>0</v>
      </c>
      <c r="H380">
        <v>4.0125000000000002</v>
      </c>
      <c r="I380" t="s">
        <v>18</v>
      </c>
      <c r="J380" t="str">
        <f t="shared" si="15"/>
        <v>Adult</v>
      </c>
      <c r="K380" t="str">
        <f t="shared" si="16"/>
        <v>Low</v>
      </c>
      <c r="L380">
        <f t="shared" si="17"/>
        <v>1</v>
      </c>
    </row>
    <row r="381" spans="1:12">
      <c r="A381">
        <v>0</v>
      </c>
      <c r="B381">
        <v>3</v>
      </c>
      <c r="C381" t="s">
        <v>400</v>
      </c>
      <c r="D381" t="s">
        <v>13</v>
      </c>
      <c r="E381">
        <v>19</v>
      </c>
      <c r="F381">
        <v>0</v>
      </c>
      <c r="G381">
        <v>0</v>
      </c>
      <c r="H381">
        <v>7.7750000000000004</v>
      </c>
      <c r="I381" t="s">
        <v>14</v>
      </c>
      <c r="J381" t="str">
        <f t="shared" si="15"/>
        <v>Adult</v>
      </c>
      <c r="K381" t="str">
        <f t="shared" si="16"/>
        <v>Low</v>
      </c>
      <c r="L381">
        <f t="shared" si="17"/>
        <v>1</v>
      </c>
    </row>
    <row r="382" spans="1:12">
      <c r="A382">
        <v>1</v>
      </c>
      <c r="B382">
        <v>1</v>
      </c>
      <c r="C382" t="s">
        <v>401</v>
      </c>
      <c r="D382" t="s">
        <v>17</v>
      </c>
      <c r="E382">
        <v>42</v>
      </c>
      <c r="F382">
        <v>0</v>
      </c>
      <c r="G382">
        <v>0</v>
      </c>
      <c r="H382">
        <v>227.52500000000001</v>
      </c>
      <c r="I382" t="s">
        <v>18</v>
      </c>
      <c r="J382" t="str">
        <f t="shared" si="15"/>
        <v>Adult</v>
      </c>
      <c r="K382" t="str">
        <f t="shared" si="16"/>
        <v>High</v>
      </c>
      <c r="L382">
        <f t="shared" si="17"/>
        <v>1</v>
      </c>
    </row>
    <row r="383" spans="1:12">
      <c r="A383">
        <v>1</v>
      </c>
      <c r="B383">
        <v>3</v>
      </c>
      <c r="C383" t="s">
        <v>402</v>
      </c>
      <c r="D383" t="s">
        <v>17</v>
      </c>
      <c r="E383">
        <v>1</v>
      </c>
      <c r="F383">
        <v>0</v>
      </c>
      <c r="G383">
        <v>2</v>
      </c>
      <c r="H383">
        <v>15.7417</v>
      </c>
      <c r="I383" t="s">
        <v>18</v>
      </c>
      <c r="J383" t="str">
        <f t="shared" si="15"/>
        <v>Child</v>
      </c>
      <c r="K383" t="str">
        <f t="shared" si="16"/>
        <v>Low</v>
      </c>
      <c r="L383">
        <f t="shared" si="17"/>
        <v>3</v>
      </c>
    </row>
    <row r="384" spans="1:12">
      <c r="A384">
        <v>0</v>
      </c>
      <c r="B384">
        <v>3</v>
      </c>
      <c r="C384" t="s">
        <v>403</v>
      </c>
      <c r="D384" t="s">
        <v>13</v>
      </c>
      <c r="E384">
        <v>32</v>
      </c>
      <c r="F384">
        <v>0</v>
      </c>
      <c r="G384">
        <v>0</v>
      </c>
      <c r="H384">
        <v>7.9249999999999998</v>
      </c>
      <c r="I384" t="s">
        <v>14</v>
      </c>
      <c r="J384" t="str">
        <f t="shared" si="15"/>
        <v>Adult</v>
      </c>
      <c r="K384" t="str">
        <f t="shared" si="16"/>
        <v>Low</v>
      </c>
      <c r="L384">
        <f t="shared" si="17"/>
        <v>1</v>
      </c>
    </row>
    <row r="385" spans="1:12">
      <c r="A385">
        <v>1</v>
      </c>
      <c r="B385">
        <v>1</v>
      </c>
      <c r="C385" t="s">
        <v>404</v>
      </c>
      <c r="D385" t="s">
        <v>17</v>
      </c>
      <c r="E385">
        <v>35</v>
      </c>
      <c r="F385">
        <v>1</v>
      </c>
      <c r="G385">
        <v>0</v>
      </c>
      <c r="H385">
        <v>52</v>
      </c>
      <c r="I385" t="s">
        <v>14</v>
      </c>
      <c r="J385" t="str">
        <f t="shared" si="15"/>
        <v>Adult</v>
      </c>
      <c r="K385" t="str">
        <f t="shared" si="16"/>
        <v>High</v>
      </c>
      <c r="L385">
        <f t="shared" si="17"/>
        <v>2</v>
      </c>
    </row>
    <row r="386" spans="1:12">
      <c r="A386">
        <v>0</v>
      </c>
      <c r="B386">
        <v>3</v>
      </c>
      <c r="C386" t="s">
        <v>405</v>
      </c>
      <c r="D386" t="s">
        <v>13</v>
      </c>
      <c r="F386">
        <v>0</v>
      </c>
      <c r="G386">
        <v>0</v>
      </c>
      <c r="H386">
        <v>7.8958000000000004</v>
      </c>
      <c r="I386" t="s">
        <v>14</v>
      </c>
      <c r="J386" t="str">
        <f t="shared" si="15"/>
        <v>Child</v>
      </c>
      <c r="K386" t="str">
        <f t="shared" si="16"/>
        <v>Low</v>
      </c>
      <c r="L386">
        <f t="shared" si="17"/>
        <v>1</v>
      </c>
    </row>
    <row r="387" spans="1:12">
      <c r="A387">
        <v>0</v>
      </c>
      <c r="B387">
        <v>2</v>
      </c>
      <c r="C387" t="s">
        <v>406</v>
      </c>
      <c r="D387" t="s">
        <v>13</v>
      </c>
      <c r="E387">
        <v>18</v>
      </c>
      <c r="F387">
        <v>0</v>
      </c>
      <c r="G387">
        <v>0</v>
      </c>
      <c r="H387">
        <v>73.5</v>
      </c>
      <c r="I387" t="s">
        <v>14</v>
      </c>
      <c r="J387" t="str">
        <f t="shared" ref="J387:J450" si="18">IF(E387&lt;18,"Child","Adult")</f>
        <v>Adult</v>
      </c>
      <c r="K387" t="str">
        <f t="shared" ref="K387:K450" si="19">IF(H387&gt;50,"High","Low")</f>
        <v>High</v>
      </c>
      <c r="L387">
        <f t="shared" ref="L387:L450" si="20">F387+G387+1</f>
        <v>1</v>
      </c>
    </row>
    <row r="388" spans="1:12">
      <c r="A388">
        <v>0</v>
      </c>
      <c r="B388">
        <v>3</v>
      </c>
      <c r="C388" t="s">
        <v>407</v>
      </c>
      <c r="D388" t="s">
        <v>13</v>
      </c>
      <c r="E388">
        <v>1</v>
      </c>
      <c r="F388">
        <v>5</v>
      </c>
      <c r="G388">
        <v>2</v>
      </c>
      <c r="H388">
        <v>46.9</v>
      </c>
      <c r="I388" t="s">
        <v>14</v>
      </c>
      <c r="J388" t="str">
        <f t="shared" si="18"/>
        <v>Child</v>
      </c>
      <c r="K388" t="str">
        <f t="shared" si="19"/>
        <v>Low</v>
      </c>
      <c r="L388">
        <f t="shared" si="20"/>
        <v>8</v>
      </c>
    </row>
    <row r="389" spans="1:12">
      <c r="A389">
        <v>1</v>
      </c>
      <c r="B389">
        <v>2</v>
      </c>
      <c r="C389" t="s">
        <v>408</v>
      </c>
      <c r="D389" t="s">
        <v>17</v>
      </c>
      <c r="E389">
        <v>36</v>
      </c>
      <c r="F389">
        <v>0</v>
      </c>
      <c r="G389">
        <v>0</v>
      </c>
      <c r="H389">
        <v>13</v>
      </c>
      <c r="I389" t="s">
        <v>14</v>
      </c>
      <c r="J389" t="str">
        <f t="shared" si="18"/>
        <v>Adult</v>
      </c>
      <c r="K389" t="str">
        <f t="shared" si="19"/>
        <v>Low</v>
      </c>
      <c r="L389">
        <f t="shared" si="20"/>
        <v>1</v>
      </c>
    </row>
    <row r="390" spans="1:12">
      <c r="A390">
        <v>0</v>
      </c>
      <c r="B390">
        <v>3</v>
      </c>
      <c r="C390" t="s">
        <v>409</v>
      </c>
      <c r="D390" t="s">
        <v>13</v>
      </c>
      <c r="F390">
        <v>0</v>
      </c>
      <c r="G390">
        <v>0</v>
      </c>
      <c r="H390">
        <v>7.7291999999999996</v>
      </c>
      <c r="I390" t="s">
        <v>26</v>
      </c>
      <c r="J390" t="str">
        <f t="shared" si="18"/>
        <v>Child</v>
      </c>
      <c r="K390" t="str">
        <f t="shared" si="19"/>
        <v>Low</v>
      </c>
      <c r="L390">
        <f t="shared" si="20"/>
        <v>1</v>
      </c>
    </row>
    <row r="391" spans="1:12">
      <c r="A391">
        <v>1</v>
      </c>
      <c r="B391">
        <v>2</v>
      </c>
      <c r="C391" t="s">
        <v>410</v>
      </c>
      <c r="D391" t="s">
        <v>17</v>
      </c>
      <c r="E391">
        <v>17</v>
      </c>
      <c r="F391">
        <v>0</v>
      </c>
      <c r="G391">
        <v>0</v>
      </c>
      <c r="H391">
        <v>12</v>
      </c>
      <c r="I391" t="s">
        <v>18</v>
      </c>
      <c r="J391" t="str">
        <f t="shared" si="18"/>
        <v>Child</v>
      </c>
      <c r="K391" t="str">
        <f t="shared" si="19"/>
        <v>Low</v>
      </c>
      <c r="L391">
        <f t="shared" si="20"/>
        <v>1</v>
      </c>
    </row>
    <row r="392" spans="1:12">
      <c r="A392">
        <v>1</v>
      </c>
      <c r="B392">
        <v>1</v>
      </c>
      <c r="C392" t="s">
        <v>411</v>
      </c>
      <c r="D392" t="s">
        <v>13</v>
      </c>
      <c r="E392">
        <v>36</v>
      </c>
      <c r="F392">
        <v>1</v>
      </c>
      <c r="G392">
        <v>2</v>
      </c>
      <c r="H392">
        <v>120</v>
      </c>
      <c r="I392" t="s">
        <v>14</v>
      </c>
      <c r="J392" t="str">
        <f t="shared" si="18"/>
        <v>Adult</v>
      </c>
      <c r="K392" t="str">
        <f t="shared" si="19"/>
        <v>High</v>
      </c>
      <c r="L392">
        <f t="shared" si="20"/>
        <v>4</v>
      </c>
    </row>
    <row r="393" spans="1:12">
      <c r="A393">
        <v>1</v>
      </c>
      <c r="B393">
        <v>3</v>
      </c>
      <c r="C393" t="s">
        <v>412</v>
      </c>
      <c r="D393" t="s">
        <v>13</v>
      </c>
      <c r="E393">
        <v>21</v>
      </c>
      <c r="F393">
        <v>0</v>
      </c>
      <c r="G393">
        <v>0</v>
      </c>
      <c r="H393">
        <v>7.7957999999999998</v>
      </c>
      <c r="I393" t="s">
        <v>14</v>
      </c>
      <c r="J393" t="str">
        <f t="shared" si="18"/>
        <v>Adult</v>
      </c>
      <c r="K393" t="str">
        <f t="shared" si="19"/>
        <v>Low</v>
      </c>
      <c r="L393">
        <f t="shared" si="20"/>
        <v>1</v>
      </c>
    </row>
    <row r="394" spans="1:12">
      <c r="A394">
        <v>0</v>
      </c>
      <c r="B394">
        <v>3</v>
      </c>
      <c r="C394" t="s">
        <v>413</v>
      </c>
      <c r="D394" t="s">
        <v>13</v>
      </c>
      <c r="E394">
        <v>28</v>
      </c>
      <c r="F394">
        <v>2</v>
      </c>
      <c r="G394">
        <v>0</v>
      </c>
      <c r="H394">
        <v>7.9249999999999998</v>
      </c>
      <c r="I394" t="s">
        <v>14</v>
      </c>
      <c r="J394" t="str">
        <f t="shared" si="18"/>
        <v>Adult</v>
      </c>
      <c r="K394" t="str">
        <f t="shared" si="19"/>
        <v>Low</v>
      </c>
      <c r="L394">
        <f t="shared" si="20"/>
        <v>3</v>
      </c>
    </row>
    <row r="395" spans="1:12">
      <c r="A395">
        <v>1</v>
      </c>
      <c r="B395">
        <v>1</v>
      </c>
      <c r="C395" t="s">
        <v>414</v>
      </c>
      <c r="D395" t="s">
        <v>17</v>
      </c>
      <c r="E395">
        <v>23</v>
      </c>
      <c r="F395">
        <v>1</v>
      </c>
      <c r="G395">
        <v>0</v>
      </c>
      <c r="H395">
        <v>113.27500000000001</v>
      </c>
      <c r="I395" t="s">
        <v>18</v>
      </c>
      <c r="J395" t="str">
        <f t="shared" si="18"/>
        <v>Adult</v>
      </c>
      <c r="K395" t="str">
        <f t="shared" si="19"/>
        <v>High</v>
      </c>
      <c r="L395">
        <f t="shared" si="20"/>
        <v>2</v>
      </c>
    </row>
    <row r="396" spans="1:12">
      <c r="A396">
        <v>1</v>
      </c>
      <c r="B396">
        <v>3</v>
      </c>
      <c r="C396" t="s">
        <v>415</v>
      </c>
      <c r="D396" t="s">
        <v>17</v>
      </c>
      <c r="E396">
        <v>24</v>
      </c>
      <c r="F396">
        <v>0</v>
      </c>
      <c r="G396">
        <v>2</v>
      </c>
      <c r="H396">
        <v>16.7</v>
      </c>
      <c r="I396" t="s">
        <v>14</v>
      </c>
      <c r="J396" t="str">
        <f t="shared" si="18"/>
        <v>Adult</v>
      </c>
      <c r="K396" t="str">
        <f t="shared" si="19"/>
        <v>Low</v>
      </c>
      <c r="L396">
        <f t="shared" si="20"/>
        <v>3</v>
      </c>
    </row>
    <row r="397" spans="1:12">
      <c r="A397">
        <v>0</v>
      </c>
      <c r="B397">
        <v>3</v>
      </c>
      <c r="C397" t="s">
        <v>416</v>
      </c>
      <c r="D397" t="s">
        <v>13</v>
      </c>
      <c r="E397">
        <v>22</v>
      </c>
      <c r="F397">
        <v>0</v>
      </c>
      <c r="G397">
        <v>0</v>
      </c>
      <c r="H397">
        <v>7.7957999999999998</v>
      </c>
      <c r="I397" t="s">
        <v>14</v>
      </c>
      <c r="J397" t="str">
        <f t="shared" si="18"/>
        <v>Adult</v>
      </c>
      <c r="K397" t="str">
        <f t="shared" si="19"/>
        <v>Low</v>
      </c>
      <c r="L397">
        <f t="shared" si="20"/>
        <v>1</v>
      </c>
    </row>
    <row r="398" spans="1:12">
      <c r="A398">
        <v>0</v>
      </c>
      <c r="B398">
        <v>3</v>
      </c>
      <c r="C398" t="s">
        <v>417</v>
      </c>
      <c r="D398" t="s">
        <v>17</v>
      </c>
      <c r="E398">
        <v>31</v>
      </c>
      <c r="F398">
        <v>0</v>
      </c>
      <c r="G398">
        <v>0</v>
      </c>
      <c r="H398">
        <v>7.8541999999999996</v>
      </c>
      <c r="I398" t="s">
        <v>14</v>
      </c>
      <c r="J398" t="str">
        <f t="shared" si="18"/>
        <v>Adult</v>
      </c>
      <c r="K398" t="str">
        <f t="shared" si="19"/>
        <v>Low</v>
      </c>
      <c r="L398">
        <f t="shared" si="20"/>
        <v>1</v>
      </c>
    </row>
    <row r="399" spans="1:12">
      <c r="A399">
        <v>0</v>
      </c>
      <c r="B399">
        <v>2</v>
      </c>
      <c r="C399" t="s">
        <v>418</v>
      </c>
      <c r="D399" t="s">
        <v>13</v>
      </c>
      <c r="E399">
        <v>46</v>
      </c>
      <c r="F399">
        <v>0</v>
      </c>
      <c r="G399">
        <v>0</v>
      </c>
      <c r="H399">
        <v>26</v>
      </c>
      <c r="I399" t="s">
        <v>14</v>
      </c>
      <c r="J399" t="str">
        <f t="shared" si="18"/>
        <v>Adult</v>
      </c>
      <c r="K399" t="str">
        <f t="shared" si="19"/>
        <v>Low</v>
      </c>
      <c r="L399">
        <f t="shared" si="20"/>
        <v>1</v>
      </c>
    </row>
    <row r="400" spans="1:12">
      <c r="A400">
        <v>0</v>
      </c>
      <c r="B400">
        <v>2</v>
      </c>
      <c r="C400" t="s">
        <v>419</v>
      </c>
      <c r="D400" t="s">
        <v>13</v>
      </c>
      <c r="E400">
        <v>23</v>
      </c>
      <c r="F400">
        <v>0</v>
      </c>
      <c r="G400">
        <v>0</v>
      </c>
      <c r="H400">
        <v>10.5</v>
      </c>
      <c r="I400" t="s">
        <v>14</v>
      </c>
      <c r="J400" t="str">
        <f t="shared" si="18"/>
        <v>Adult</v>
      </c>
      <c r="K400" t="str">
        <f t="shared" si="19"/>
        <v>Low</v>
      </c>
      <c r="L400">
        <f t="shared" si="20"/>
        <v>1</v>
      </c>
    </row>
    <row r="401" spans="1:12">
      <c r="A401">
        <v>1</v>
      </c>
      <c r="B401">
        <v>2</v>
      </c>
      <c r="C401" t="s">
        <v>420</v>
      </c>
      <c r="D401" t="s">
        <v>17</v>
      </c>
      <c r="E401">
        <v>28</v>
      </c>
      <c r="F401">
        <v>0</v>
      </c>
      <c r="G401">
        <v>0</v>
      </c>
      <c r="H401">
        <v>12.65</v>
      </c>
      <c r="I401" t="s">
        <v>14</v>
      </c>
      <c r="J401" t="str">
        <f t="shared" si="18"/>
        <v>Adult</v>
      </c>
      <c r="K401" t="str">
        <f t="shared" si="19"/>
        <v>Low</v>
      </c>
      <c r="L401">
        <f t="shared" si="20"/>
        <v>1</v>
      </c>
    </row>
    <row r="402" spans="1:12">
      <c r="A402">
        <v>1</v>
      </c>
      <c r="B402">
        <v>3</v>
      </c>
      <c r="C402" t="s">
        <v>421</v>
      </c>
      <c r="D402" t="s">
        <v>13</v>
      </c>
      <c r="E402">
        <v>39</v>
      </c>
      <c r="F402">
        <v>0</v>
      </c>
      <c r="G402">
        <v>0</v>
      </c>
      <c r="H402">
        <v>7.9249999999999998</v>
      </c>
      <c r="I402" t="s">
        <v>14</v>
      </c>
      <c r="J402" t="str">
        <f t="shared" si="18"/>
        <v>Adult</v>
      </c>
      <c r="K402" t="str">
        <f t="shared" si="19"/>
        <v>Low</v>
      </c>
      <c r="L402">
        <f t="shared" si="20"/>
        <v>1</v>
      </c>
    </row>
    <row r="403" spans="1:12">
      <c r="A403">
        <v>0</v>
      </c>
      <c r="B403">
        <v>3</v>
      </c>
      <c r="C403" t="s">
        <v>422</v>
      </c>
      <c r="D403" t="s">
        <v>13</v>
      </c>
      <c r="E403">
        <v>26</v>
      </c>
      <c r="F403">
        <v>0</v>
      </c>
      <c r="G403">
        <v>0</v>
      </c>
      <c r="H403">
        <v>8.0500000000000007</v>
      </c>
      <c r="I403" t="s">
        <v>14</v>
      </c>
      <c r="J403" t="str">
        <f t="shared" si="18"/>
        <v>Adult</v>
      </c>
      <c r="K403" t="str">
        <f t="shared" si="19"/>
        <v>Low</v>
      </c>
      <c r="L403">
        <f t="shared" si="20"/>
        <v>1</v>
      </c>
    </row>
    <row r="404" spans="1:12">
      <c r="A404">
        <v>0</v>
      </c>
      <c r="B404">
        <v>3</v>
      </c>
      <c r="C404" t="s">
        <v>423</v>
      </c>
      <c r="D404" t="s">
        <v>17</v>
      </c>
      <c r="E404">
        <v>21</v>
      </c>
      <c r="F404">
        <v>1</v>
      </c>
      <c r="G404">
        <v>0</v>
      </c>
      <c r="H404">
        <v>9.8249999999999993</v>
      </c>
      <c r="I404" t="s">
        <v>14</v>
      </c>
      <c r="J404" t="str">
        <f t="shared" si="18"/>
        <v>Adult</v>
      </c>
      <c r="K404" t="str">
        <f t="shared" si="19"/>
        <v>Low</v>
      </c>
      <c r="L404">
        <f t="shared" si="20"/>
        <v>2</v>
      </c>
    </row>
    <row r="405" spans="1:12">
      <c r="A405">
        <v>0</v>
      </c>
      <c r="B405">
        <v>3</v>
      </c>
      <c r="C405" t="s">
        <v>424</v>
      </c>
      <c r="D405" t="s">
        <v>13</v>
      </c>
      <c r="E405">
        <v>28</v>
      </c>
      <c r="F405">
        <v>1</v>
      </c>
      <c r="G405">
        <v>0</v>
      </c>
      <c r="H405">
        <v>15.85</v>
      </c>
      <c r="I405" t="s">
        <v>14</v>
      </c>
      <c r="J405" t="str">
        <f t="shared" si="18"/>
        <v>Adult</v>
      </c>
      <c r="K405" t="str">
        <f t="shared" si="19"/>
        <v>Low</v>
      </c>
      <c r="L405">
        <f t="shared" si="20"/>
        <v>2</v>
      </c>
    </row>
    <row r="406" spans="1:12">
      <c r="A406">
        <v>0</v>
      </c>
      <c r="B406">
        <v>3</v>
      </c>
      <c r="C406" t="s">
        <v>425</v>
      </c>
      <c r="D406" t="s">
        <v>17</v>
      </c>
      <c r="E406">
        <v>20</v>
      </c>
      <c r="F406">
        <v>0</v>
      </c>
      <c r="G406">
        <v>0</v>
      </c>
      <c r="H406">
        <v>8.6624999999999996</v>
      </c>
      <c r="I406" t="s">
        <v>14</v>
      </c>
      <c r="J406" t="str">
        <f t="shared" si="18"/>
        <v>Adult</v>
      </c>
      <c r="K406" t="str">
        <f t="shared" si="19"/>
        <v>Low</v>
      </c>
      <c r="L406">
        <f t="shared" si="20"/>
        <v>1</v>
      </c>
    </row>
    <row r="407" spans="1:12">
      <c r="A407">
        <v>0</v>
      </c>
      <c r="B407">
        <v>2</v>
      </c>
      <c r="C407" t="s">
        <v>426</v>
      </c>
      <c r="D407" t="s">
        <v>13</v>
      </c>
      <c r="E407">
        <v>34</v>
      </c>
      <c r="F407">
        <v>1</v>
      </c>
      <c r="G407">
        <v>0</v>
      </c>
      <c r="H407">
        <v>21</v>
      </c>
      <c r="I407" t="s">
        <v>14</v>
      </c>
      <c r="J407" t="str">
        <f t="shared" si="18"/>
        <v>Adult</v>
      </c>
      <c r="K407" t="str">
        <f t="shared" si="19"/>
        <v>Low</v>
      </c>
      <c r="L407">
        <f t="shared" si="20"/>
        <v>2</v>
      </c>
    </row>
    <row r="408" spans="1:12">
      <c r="A408">
        <v>0</v>
      </c>
      <c r="B408">
        <v>3</v>
      </c>
      <c r="C408" t="s">
        <v>427</v>
      </c>
      <c r="D408" t="s">
        <v>13</v>
      </c>
      <c r="E408">
        <v>51</v>
      </c>
      <c r="F408">
        <v>0</v>
      </c>
      <c r="G408">
        <v>0</v>
      </c>
      <c r="H408">
        <v>7.75</v>
      </c>
      <c r="I408" t="s">
        <v>14</v>
      </c>
      <c r="J408" t="str">
        <f t="shared" si="18"/>
        <v>Adult</v>
      </c>
      <c r="K408" t="str">
        <f t="shared" si="19"/>
        <v>Low</v>
      </c>
      <c r="L408">
        <f t="shared" si="20"/>
        <v>1</v>
      </c>
    </row>
    <row r="409" spans="1:12">
      <c r="A409">
        <v>1</v>
      </c>
      <c r="B409">
        <v>2</v>
      </c>
      <c r="C409" t="s">
        <v>428</v>
      </c>
      <c r="D409" t="s">
        <v>13</v>
      </c>
      <c r="E409">
        <v>3</v>
      </c>
      <c r="F409">
        <v>1</v>
      </c>
      <c r="G409">
        <v>1</v>
      </c>
      <c r="H409">
        <v>18.75</v>
      </c>
      <c r="I409" t="s">
        <v>14</v>
      </c>
      <c r="J409" t="str">
        <f t="shared" si="18"/>
        <v>Child</v>
      </c>
      <c r="K409" t="str">
        <f t="shared" si="19"/>
        <v>Low</v>
      </c>
      <c r="L409">
        <f t="shared" si="20"/>
        <v>3</v>
      </c>
    </row>
    <row r="410" spans="1:12">
      <c r="A410">
        <v>0</v>
      </c>
      <c r="B410">
        <v>3</v>
      </c>
      <c r="C410" t="s">
        <v>429</v>
      </c>
      <c r="D410" t="s">
        <v>13</v>
      </c>
      <c r="E410">
        <v>21</v>
      </c>
      <c r="F410">
        <v>0</v>
      </c>
      <c r="G410">
        <v>0</v>
      </c>
      <c r="H410">
        <v>7.7750000000000004</v>
      </c>
      <c r="I410" t="s">
        <v>14</v>
      </c>
      <c r="J410" t="str">
        <f t="shared" si="18"/>
        <v>Adult</v>
      </c>
      <c r="K410" t="str">
        <f t="shared" si="19"/>
        <v>Low</v>
      </c>
      <c r="L410">
        <f t="shared" si="20"/>
        <v>1</v>
      </c>
    </row>
    <row r="411" spans="1:12">
      <c r="A411">
        <v>0</v>
      </c>
      <c r="B411">
        <v>3</v>
      </c>
      <c r="C411" t="s">
        <v>430</v>
      </c>
      <c r="D411" t="s">
        <v>17</v>
      </c>
      <c r="F411">
        <v>3</v>
      </c>
      <c r="G411">
        <v>1</v>
      </c>
      <c r="H411">
        <v>25.466699999999999</v>
      </c>
      <c r="I411" t="s">
        <v>14</v>
      </c>
      <c r="J411" t="str">
        <f t="shared" si="18"/>
        <v>Child</v>
      </c>
      <c r="K411" t="str">
        <f t="shared" si="19"/>
        <v>Low</v>
      </c>
      <c r="L411">
        <f t="shared" si="20"/>
        <v>5</v>
      </c>
    </row>
    <row r="412" spans="1:12">
      <c r="A412">
        <v>0</v>
      </c>
      <c r="B412">
        <v>3</v>
      </c>
      <c r="C412" t="s">
        <v>431</v>
      </c>
      <c r="D412" t="s">
        <v>13</v>
      </c>
      <c r="F412">
        <v>0</v>
      </c>
      <c r="G412">
        <v>0</v>
      </c>
      <c r="H412">
        <v>7.8958000000000004</v>
      </c>
      <c r="I412" t="s">
        <v>14</v>
      </c>
      <c r="J412" t="str">
        <f t="shared" si="18"/>
        <v>Child</v>
      </c>
      <c r="K412" t="str">
        <f t="shared" si="19"/>
        <v>Low</v>
      </c>
      <c r="L412">
        <f t="shared" si="20"/>
        <v>1</v>
      </c>
    </row>
    <row r="413" spans="1:12">
      <c r="A413">
        <v>0</v>
      </c>
      <c r="B413">
        <v>3</v>
      </c>
      <c r="C413" t="s">
        <v>432</v>
      </c>
      <c r="D413" t="s">
        <v>13</v>
      </c>
      <c r="F413">
        <v>0</v>
      </c>
      <c r="G413">
        <v>0</v>
      </c>
      <c r="H413">
        <v>6.8582999999999998</v>
      </c>
      <c r="I413" t="s">
        <v>26</v>
      </c>
      <c r="J413" t="str">
        <f t="shared" si="18"/>
        <v>Child</v>
      </c>
      <c r="K413" t="str">
        <f t="shared" si="19"/>
        <v>Low</v>
      </c>
      <c r="L413">
        <f t="shared" si="20"/>
        <v>1</v>
      </c>
    </row>
    <row r="414" spans="1:12">
      <c r="A414">
        <v>1</v>
      </c>
      <c r="B414">
        <v>1</v>
      </c>
      <c r="C414" t="s">
        <v>433</v>
      </c>
      <c r="D414" t="s">
        <v>17</v>
      </c>
      <c r="E414">
        <v>33</v>
      </c>
      <c r="F414">
        <v>1</v>
      </c>
      <c r="G414">
        <v>0</v>
      </c>
      <c r="H414">
        <v>90</v>
      </c>
      <c r="I414" t="s">
        <v>26</v>
      </c>
      <c r="J414" t="str">
        <f t="shared" si="18"/>
        <v>Adult</v>
      </c>
      <c r="K414" t="str">
        <f t="shared" si="19"/>
        <v>High</v>
      </c>
      <c r="L414">
        <f t="shared" si="20"/>
        <v>2</v>
      </c>
    </row>
    <row r="415" spans="1:12">
      <c r="A415">
        <v>0</v>
      </c>
      <c r="B415">
        <v>2</v>
      </c>
      <c r="C415" t="s">
        <v>434</v>
      </c>
      <c r="D415" t="s">
        <v>13</v>
      </c>
      <c r="F415">
        <v>0</v>
      </c>
      <c r="G415">
        <v>0</v>
      </c>
      <c r="H415">
        <v>0</v>
      </c>
      <c r="I415" t="s">
        <v>14</v>
      </c>
      <c r="J415" t="str">
        <f t="shared" si="18"/>
        <v>Child</v>
      </c>
      <c r="K415" t="str">
        <f t="shared" si="19"/>
        <v>Low</v>
      </c>
      <c r="L415">
        <f t="shared" si="20"/>
        <v>1</v>
      </c>
    </row>
    <row r="416" spans="1:12">
      <c r="A416">
        <v>1</v>
      </c>
      <c r="B416">
        <v>3</v>
      </c>
      <c r="C416" t="s">
        <v>435</v>
      </c>
      <c r="D416" t="s">
        <v>13</v>
      </c>
      <c r="E416">
        <v>44</v>
      </c>
      <c r="F416">
        <v>0</v>
      </c>
      <c r="G416">
        <v>0</v>
      </c>
      <c r="H416">
        <v>7.9249999999999998</v>
      </c>
      <c r="I416" t="s">
        <v>14</v>
      </c>
      <c r="J416" t="str">
        <f t="shared" si="18"/>
        <v>Adult</v>
      </c>
      <c r="K416" t="str">
        <f t="shared" si="19"/>
        <v>Low</v>
      </c>
      <c r="L416">
        <f t="shared" si="20"/>
        <v>1</v>
      </c>
    </row>
    <row r="417" spans="1:12">
      <c r="A417">
        <v>0</v>
      </c>
      <c r="B417">
        <v>3</v>
      </c>
      <c r="C417" t="s">
        <v>436</v>
      </c>
      <c r="D417" t="s">
        <v>17</v>
      </c>
      <c r="F417">
        <v>0</v>
      </c>
      <c r="G417">
        <v>0</v>
      </c>
      <c r="H417">
        <v>8.0500000000000007</v>
      </c>
      <c r="I417" t="s">
        <v>14</v>
      </c>
      <c r="J417" t="str">
        <f t="shared" si="18"/>
        <v>Child</v>
      </c>
      <c r="K417" t="str">
        <f t="shared" si="19"/>
        <v>Low</v>
      </c>
      <c r="L417">
        <f t="shared" si="20"/>
        <v>1</v>
      </c>
    </row>
    <row r="418" spans="1:12">
      <c r="A418">
        <v>1</v>
      </c>
      <c r="B418">
        <v>2</v>
      </c>
      <c r="C418" t="s">
        <v>437</v>
      </c>
      <c r="D418" t="s">
        <v>17</v>
      </c>
      <c r="E418">
        <v>34</v>
      </c>
      <c r="F418">
        <v>1</v>
      </c>
      <c r="G418">
        <v>1</v>
      </c>
      <c r="H418">
        <v>32.5</v>
      </c>
      <c r="I418" t="s">
        <v>14</v>
      </c>
      <c r="J418" t="str">
        <f t="shared" si="18"/>
        <v>Adult</v>
      </c>
      <c r="K418" t="str">
        <f t="shared" si="19"/>
        <v>Low</v>
      </c>
      <c r="L418">
        <f t="shared" si="20"/>
        <v>3</v>
      </c>
    </row>
    <row r="419" spans="1:12">
      <c r="A419">
        <v>1</v>
      </c>
      <c r="B419">
        <v>2</v>
      </c>
      <c r="C419" t="s">
        <v>438</v>
      </c>
      <c r="D419" t="s">
        <v>17</v>
      </c>
      <c r="E419">
        <v>18</v>
      </c>
      <c r="F419">
        <v>0</v>
      </c>
      <c r="G419">
        <v>2</v>
      </c>
      <c r="H419">
        <v>13</v>
      </c>
      <c r="I419" t="s">
        <v>14</v>
      </c>
      <c r="J419" t="str">
        <f t="shared" si="18"/>
        <v>Adult</v>
      </c>
      <c r="K419" t="str">
        <f t="shared" si="19"/>
        <v>Low</v>
      </c>
      <c r="L419">
        <f t="shared" si="20"/>
        <v>3</v>
      </c>
    </row>
    <row r="420" spans="1:12">
      <c r="A420">
        <v>0</v>
      </c>
      <c r="B420">
        <v>2</v>
      </c>
      <c r="C420" t="s">
        <v>439</v>
      </c>
      <c r="D420" t="s">
        <v>13</v>
      </c>
      <c r="E420">
        <v>30</v>
      </c>
      <c r="F420">
        <v>0</v>
      </c>
      <c r="G420">
        <v>0</v>
      </c>
      <c r="H420">
        <v>13</v>
      </c>
      <c r="I420" t="s">
        <v>14</v>
      </c>
      <c r="J420" t="str">
        <f t="shared" si="18"/>
        <v>Adult</v>
      </c>
      <c r="K420" t="str">
        <f t="shared" si="19"/>
        <v>Low</v>
      </c>
      <c r="L420">
        <f t="shared" si="20"/>
        <v>1</v>
      </c>
    </row>
    <row r="421" spans="1:12">
      <c r="A421">
        <v>0</v>
      </c>
      <c r="B421">
        <v>3</v>
      </c>
      <c r="C421" t="s">
        <v>440</v>
      </c>
      <c r="D421" t="s">
        <v>17</v>
      </c>
      <c r="E421">
        <v>10</v>
      </c>
      <c r="F421">
        <v>0</v>
      </c>
      <c r="G421">
        <v>2</v>
      </c>
      <c r="H421">
        <v>24.15</v>
      </c>
      <c r="I421" t="s">
        <v>14</v>
      </c>
      <c r="J421" t="str">
        <f t="shared" si="18"/>
        <v>Child</v>
      </c>
      <c r="K421" t="str">
        <f t="shared" si="19"/>
        <v>Low</v>
      </c>
      <c r="L421">
        <f t="shared" si="20"/>
        <v>3</v>
      </c>
    </row>
    <row r="422" spans="1:12">
      <c r="A422">
        <v>0</v>
      </c>
      <c r="B422">
        <v>3</v>
      </c>
      <c r="C422" t="s">
        <v>441</v>
      </c>
      <c r="D422" t="s">
        <v>13</v>
      </c>
      <c r="F422">
        <v>0</v>
      </c>
      <c r="G422">
        <v>0</v>
      </c>
      <c r="H422">
        <v>7.8958000000000004</v>
      </c>
      <c r="I422" t="s">
        <v>18</v>
      </c>
      <c r="J422" t="str">
        <f t="shared" si="18"/>
        <v>Child</v>
      </c>
      <c r="K422" t="str">
        <f t="shared" si="19"/>
        <v>Low</v>
      </c>
      <c r="L422">
        <f t="shared" si="20"/>
        <v>1</v>
      </c>
    </row>
    <row r="423" spans="1:12">
      <c r="A423">
        <v>0</v>
      </c>
      <c r="B423">
        <v>3</v>
      </c>
      <c r="C423" t="s">
        <v>442</v>
      </c>
      <c r="D423" t="s">
        <v>13</v>
      </c>
      <c r="E423">
        <v>21</v>
      </c>
      <c r="F423">
        <v>0</v>
      </c>
      <c r="G423">
        <v>0</v>
      </c>
      <c r="H423">
        <v>7.7332999999999998</v>
      </c>
      <c r="I423" t="s">
        <v>26</v>
      </c>
      <c r="J423" t="str">
        <f t="shared" si="18"/>
        <v>Adult</v>
      </c>
      <c r="K423" t="str">
        <f t="shared" si="19"/>
        <v>Low</v>
      </c>
      <c r="L423">
        <f t="shared" si="20"/>
        <v>1</v>
      </c>
    </row>
    <row r="424" spans="1:12">
      <c r="A424">
        <v>0</v>
      </c>
      <c r="B424">
        <v>3</v>
      </c>
      <c r="C424" t="s">
        <v>443</v>
      </c>
      <c r="D424" t="s">
        <v>13</v>
      </c>
      <c r="E424">
        <v>29</v>
      </c>
      <c r="F424">
        <v>0</v>
      </c>
      <c r="G424">
        <v>0</v>
      </c>
      <c r="H424">
        <v>7.875</v>
      </c>
      <c r="I424" t="s">
        <v>14</v>
      </c>
      <c r="J424" t="str">
        <f t="shared" si="18"/>
        <v>Adult</v>
      </c>
      <c r="K424" t="str">
        <f t="shared" si="19"/>
        <v>Low</v>
      </c>
      <c r="L424">
        <f t="shared" si="20"/>
        <v>1</v>
      </c>
    </row>
    <row r="425" spans="1:12">
      <c r="A425">
        <v>0</v>
      </c>
      <c r="B425">
        <v>3</v>
      </c>
      <c r="C425" t="s">
        <v>444</v>
      </c>
      <c r="D425" t="s">
        <v>17</v>
      </c>
      <c r="E425">
        <v>28</v>
      </c>
      <c r="F425">
        <v>1</v>
      </c>
      <c r="G425">
        <v>1</v>
      </c>
      <c r="H425">
        <v>14.4</v>
      </c>
      <c r="I425" t="s">
        <v>14</v>
      </c>
      <c r="J425" t="str">
        <f t="shared" si="18"/>
        <v>Adult</v>
      </c>
      <c r="K425" t="str">
        <f t="shared" si="19"/>
        <v>Low</v>
      </c>
      <c r="L425">
        <f t="shared" si="20"/>
        <v>3</v>
      </c>
    </row>
    <row r="426" spans="1:12">
      <c r="A426">
        <v>0</v>
      </c>
      <c r="B426">
        <v>3</v>
      </c>
      <c r="C426" t="s">
        <v>445</v>
      </c>
      <c r="D426" t="s">
        <v>13</v>
      </c>
      <c r="E426">
        <v>18</v>
      </c>
      <c r="F426">
        <v>1</v>
      </c>
      <c r="G426">
        <v>1</v>
      </c>
      <c r="H426">
        <v>20.212499999999999</v>
      </c>
      <c r="I426" t="s">
        <v>14</v>
      </c>
      <c r="J426" t="str">
        <f t="shared" si="18"/>
        <v>Adult</v>
      </c>
      <c r="K426" t="str">
        <f t="shared" si="19"/>
        <v>Low</v>
      </c>
      <c r="L426">
        <f t="shared" si="20"/>
        <v>3</v>
      </c>
    </row>
    <row r="427" spans="1:12">
      <c r="A427">
        <v>0</v>
      </c>
      <c r="B427">
        <v>3</v>
      </c>
      <c r="C427" t="s">
        <v>446</v>
      </c>
      <c r="D427" t="s">
        <v>13</v>
      </c>
      <c r="F427">
        <v>0</v>
      </c>
      <c r="G427">
        <v>0</v>
      </c>
      <c r="H427">
        <v>7.25</v>
      </c>
      <c r="I427" t="s">
        <v>14</v>
      </c>
      <c r="J427" t="str">
        <f t="shared" si="18"/>
        <v>Child</v>
      </c>
      <c r="K427" t="str">
        <f t="shared" si="19"/>
        <v>Low</v>
      </c>
      <c r="L427">
        <f t="shared" si="20"/>
        <v>1</v>
      </c>
    </row>
    <row r="428" spans="1:12">
      <c r="A428">
        <v>1</v>
      </c>
      <c r="B428">
        <v>2</v>
      </c>
      <c r="C428" t="s">
        <v>447</v>
      </c>
      <c r="D428" t="s">
        <v>17</v>
      </c>
      <c r="E428">
        <v>28</v>
      </c>
      <c r="F428">
        <v>1</v>
      </c>
      <c r="G428">
        <v>0</v>
      </c>
      <c r="H428">
        <v>26</v>
      </c>
      <c r="I428" t="s">
        <v>14</v>
      </c>
      <c r="J428" t="str">
        <f t="shared" si="18"/>
        <v>Adult</v>
      </c>
      <c r="K428" t="str">
        <f t="shared" si="19"/>
        <v>Low</v>
      </c>
      <c r="L428">
        <f t="shared" si="20"/>
        <v>2</v>
      </c>
    </row>
    <row r="429" spans="1:12">
      <c r="A429">
        <v>1</v>
      </c>
      <c r="B429">
        <v>2</v>
      </c>
      <c r="C429" t="s">
        <v>448</v>
      </c>
      <c r="D429" t="s">
        <v>17</v>
      </c>
      <c r="E429">
        <v>19</v>
      </c>
      <c r="F429">
        <v>0</v>
      </c>
      <c r="G429">
        <v>0</v>
      </c>
      <c r="H429">
        <v>26</v>
      </c>
      <c r="I429" t="s">
        <v>14</v>
      </c>
      <c r="J429" t="str">
        <f t="shared" si="18"/>
        <v>Adult</v>
      </c>
      <c r="K429" t="str">
        <f t="shared" si="19"/>
        <v>Low</v>
      </c>
      <c r="L429">
        <f t="shared" si="20"/>
        <v>1</v>
      </c>
    </row>
    <row r="430" spans="1:12">
      <c r="A430">
        <v>0</v>
      </c>
      <c r="B430">
        <v>3</v>
      </c>
      <c r="C430" t="s">
        <v>449</v>
      </c>
      <c r="D430" t="s">
        <v>13</v>
      </c>
      <c r="F430">
        <v>0</v>
      </c>
      <c r="G430">
        <v>0</v>
      </c>
      <c r="H430">
        <v>7.75</v>
      </c>
      <c r="I430" t="s">
        <v>26</v>
      </c>
      <c r="J430" t="str">
        <f t="shared" si="18"/>
        <v>Child</v>
      </c>
      <c r="K430" t="str">
        <f t="shared" si="19"/>
        <v>Low</v>
      </c>
      <c r="L430">
        <f t="shared" si="20"/>
        <v>1</v>
      </c>
    </row>
    <row r="431" spans="1:12">
      <c r="A431">
        <v>1</v>
      </c>
      <c r="B431">
        <v>3</v>
      </c>
      <c r="C431" t="s">
        <v>450</v>
      </c>
      <c r="D431" t="s">
        <v>13</v>
      </c>
      <c r="E431">
        <v>32</v>
      </c>
      <c r="F431">
        <v>0</v>
      </c>
      <c r="G431">
        <v>0</v>
      </c>
      <c r="H431">
        <v>8.0500000000000007</v>
      </c>
      <c r="I431" t="s">
        <v>14</v>
      </c>
      <c r="J431" t="str">
        <f t="shared" si="18"/>
        <v>Adult</v>
      </c>
      <c r="K431" t="str">
        <f t="shared" si="19"/>
        <v>Low</v>
      </c>
      <c r="L431">
        <f t="shared" si="20"/>
        <v>1</v>
      </c>
    </row>
    <row r="432" spans="1:12">
      <c r="A432">
        <v>1</v>
      </c>
      <c r="B432">
        <v>1</v>
      </c>
      <c r="C432" t="s">
        <v>451</v>
      </c>
      <c r="D432" t="s">
        <v>13</v>
      </c>
      <c r="E432">
        <v>28</v>
      </c>
      <c r="F432">
        <v>0</v>
      </c>
      <c r="G432">
        <v>0</v>
      </c>
      <c r="H432">
        <v>26.55</v>
      </c>
      <c r="I432" t="s">
        <v>14</v>
      </c>
      <c r="J432" t="str">
        <f t="shared" si="18"/>
        <v>Adult</v>
      </c>
      <c r="K432" t="str">
        <f t="shared" si="19"/>
        <v>Low</v>
      </c>
      <c r="L432">
        <f t="shared" si="20"/>
        <v>1</v>
      </c>
    </row>
    <row r="433" spans="1:12">
      <c r="A433">
        <v>1</v>
      </c>
      <c r="B433">
        <v>3</v>
      </c>
      <c r="C433" t="s">
        <v>452</v>
      </c>
      <c r="D433" t="s">
        <v>17</v>
      </c>
      <c r="F433">
        <v>1</v>
      </c>
      <c r="G433">
        <v>0</v>
      </c>
      <c r="H433">
        <v>16.100000000000001</v>
      </c>
      <c r="I433" t="s">
        <v>14</v>
      </c>
      <c r="J433" t="str">
        <f t="shared" si="18"/>
        <v>Child</v>
      </c>
      <c r="K433" t="str">
        <f t="shared" si="19"/>
        <v>Low</v>
      </c>
      <c r="L433">
        <f t="shared" si="20"/>
        <v>2</v>
      </c>
    </row>
    <row r="434" spans="1:12">
      <c r="A434">
        <v>1</v>
      </c>
      <c r="B434">
        <v>2</v>
      </c>
      <c r="C434" t="s">
        <v>453</v>
      </c>
      <c r="D434" t="s">
        <v>17</v>
      </c>
      <c r="E434">
        <v>42</v>
      </c>
      <c r="F434">
        <v>1</v>
      </c>
      <c r="G434">
        <v>0</v>
      </c>
      <c r="H434">
        <v>26</v>
      </c>
      <c r="I434" t="s">
        <v>14</v>
      </c>
      <c r="J434" t="str">
        <f t="shared" si="18"/>
        <v>Adult</v>
      </c>
      <c r="K434" t="str">
        <f t="shared" si="19"/>
        <v>Low</v>
      </c>
      <c r="L434">
        <f t="shared" si="20"/>
        <v>2</v>
      </c>
    </row>
    <row r="435" spans="1:12">
      <c r="A435">
        <v>0</v>
      </c>
      <c r="B435">
        <v>3</v>
      </c>
      <c r="C435" t="s">
        <v>454</v>
      </c>
      <c r="D435" t="s">
        <v>13</v>
      </c>
      <c r="E435">
        <v>17</v>
      </c>
      <c r="F435">
        <v>0</v>
      </c>
      <c r="G435">
        <v>0</v>
      </c>
      <c r="H435">
        <v>7.125</v>
      </c>
      <c r="I435" t="s">
        <v>14</v>
      </c>
      <c r="J435" t="str">
        <f t="shared" si="18"/>
        <v>Child</v>
      </c>
      <c r="K435" t="str">
        <f t="shared" si="19"/>
        <v>Low</v>
      </c>
      <c r="L435">
        <f t="shared" si="20"/>
        <v>1</v>
      </c>
    </row>
    <row r="436" spans="1:12">
      <c r="A436">
        <v>0</v>
      </c>
      <c r="B436">
        <v>1</v>
      </c>
      <c r="C436" t="s">
        <v>455</v>
      </c>
      <c r="D436" t="s">
        <v>13</v>
      </c>
      <c r="E436">
        <v>50</v>
      </c>
      <c r="F436">
        <v>1</v>
      </c>
      <c r="G436">
        <v>0</v>
      </c>
      <c r="H436">
        <v>55.9</v>
      </c>
      <c r="I436" t="s">
        <v>14</v>
      </c>
      <c r="J436" t="str">
        <f t="shared" si="18"/>
        <v>Adult</v>
      </c>
      <c r="K436" t="str">
        <f t="shared" si="19"/>
        <v>High</v>
      </c>
      <c r="L436">
        <f t="shared" si="20"/>
        <v>2</v>
      </c>
    </row>
    <row r="437" spans="1:12">
      <c r="A437">
        <v>1</v>
      </c>
      <c r="B437">
        <v>1</v>
      </c>
      <c r="C437" t="s">
        <v>456</v>
      </c>
      <c r="D437" t="s">
        <v>17</v>
      </c>
      <c r="E437">
        <v>14</v>
      </c>
      <c r="F437">
        <v>1</v>
      </c>
      <c r="G437">
        <v>2</v>
      </c>
      <c r="H437">
        <v>120</v>
      </c>
      <c r="I437" t="s">
        <v>14</v>
      </c>
      <c r="J437" t="str">
        <f t="shared" si="18"/>
        <v>Child</v>
      </c>
      <c r="K437" t="str">
        <f t="shared" si="19"/>
        <v>High</v>
      </c>
      <c r="L437">
        <f t="shared" si="20"/>
        <v>4</v>
      </c>
    </row>
    <row r="438" spans="1:12">
      <c r="A438">
        <v>0</v>
      </c>
      <c r="B438">
        <v>3</v>
      </c>
      <c r="C438" t="s">
        <v>457</v>
      </c>
      <c r="D438" t="s">
        <v>17</v>
      </c>
      <c r="E438">
        <v>21</v>
      </c>
      <c r="F438">
        <v>2</v>
      </c>
      <c r="G438">
        <v>2</v>
      </c>
      <c r="H438">
        <v>34.375</v>
      </c>
      <c r="I438" t="s">
        <v>14</v>
      </c>
      <c r="J438" t="str">
        <f t="shared" si="18"/>
        <v>Adult</v>
      </c>
      <c r="K438" t="str">
        <f t="shared" si="19"/>
        <v>Low</v>
      </c>
      <c r="L438">
        <f t="shared" si="20"/>
        <v>5</v>
      </c>
    </row>
    <row r="439" spans="1:12">
      <c r="A439">
        <v>1</v>
      </c>
      <c r="B439">
        <v>2</v>
      </c>
      <c r="C439" t="s">
        <v>458</v>
      </c>
      <c r="D439" t="s">
        <v>17</v>
      </c>
      <c r="E439">
        <v>24</v>
      </c>
      <c r="F439">
        <v>2</v>
      </c>
      <c r="G439">
        <v>3</v>
      </c>
      <c r="H439">
        <v>18.75</v>
      </c>
      <c r="I439" t="s">
        <v>14</v>
      </c>
      <c r="J439" t="str">
        <f t="shared" si="18"/>
        <v>Adult</v>
      </c>
      <c r="K439" t="str">
        <f t="shared" si="19"/>
        <v>Low</v>
      </c>
      <c r="L439">
        <f t="shared" si="20"/>
        <v>6</v>
      </c>
    </row>
    <row r="440" spans="1:12">
      <c r="A440">
        <v>0</v>
      </c>
      <c r="B440">
        <v>1</v>
      </c>
      <c r="C440" t="s">
        <v>459</v>
      </c>
      <c r="D440" t="s">
        <v>13</v>
      </c>
      <c r="E440">
        <v>64</v>
      </c>
      <c r="F440">
        <v>1</v>
      </c>
      <c r="G440">
        <v>4</v>
      </c>
      <c r="H440">
        <v>263</v>
      </c>
      <c r="I440" t="s">
        <v>14</v>
      </c>
      <c r="J440" t="str">
        <f t="shared" si="18"/>
        <v>Adult</v>
      </c>
      <c r="K440" t="str">
        <f t="shared" si="19"/>
        <v>High</v>
      </c>
      <c r="L440">
        <f t="shared" si="20"/>
        <v>6</v>
      </c>
    </row>
    <row r="441" spans="1:12">
      <c r="A441">
        <v>0</v>
      </c>
      <c r="B441">
        <v>2</v>
      </c>
      <c r="C441" t="s">
        <v>460</v>
      </c>
      <c r="D441" t="s">
        <v>13</v>
      </c>
      <c r="E441">
        <v>31</v>
      </c>
      <c r="F441">
        <v>0</v>
      </c>
      <c r="G441">
        <v>0</v>
      </c>
      <c r="H441">
        <v>10.5</v>
      </c>
      <c r="I441" t="s">
        <v>14</v>
      </c>
      <c r="J441" t="str">
        <f t="shared" si="18"/>
        <v>Adult</v>
      </c>
      <c r="K441" t="str">
        <f t="shared" si="19"/>
        <v>Low</v>
      </c>
      <c r="L441">
        <f t="shared" si="20"/>
        <v>1</v>
      </c>
    </row>
    <row r="442" spans="1:12">
      <c r="A442">
        <v>1</v>
      </c>
      <c r="B442">
        <v>2</v>
      </c>
      <c r="C442" t="s">
        <v>461</v>
      </c>
      <c r="D442" t="s">
        <v>17</v>
      </c>
      <c r="E442">
        <v>45</v>
      </c>
      <c r="F442">
        <v>1</v>
      </c>
      <c r="G442">
        <v>1</v>
      </c>
      <c r="H442">
        <v>26.25</v>
      </c>
      <c r="I442" t="s">
        <v>14</v>
      </c>
      <c r="J442" t="str">
        <f t="shared" si="18"/>
        <v>Adult</v>
      </c>
      <c r="K442" t="str">
        <f t="shared" si="19"/>
        <v>Low</v>
      </c>
      <c r="L442">
        <f t="shared" si="20"/>
        <v>3</v>
      </c>
    </row>
    <row r="443" spans="1:12">
      <c r="A443">
        <v>0</v>
      </c>
      <c r="B443">
        <v>3</v>
      </c>
      <c r="C443" t="s">
        <v>462</v>
      </c>
      <c r="D443" t="s">
        <v>13</v>
      </c>
      <c r="E443">
        <v>20</v>
      </c>
      <c r="F443">
        <v>0</v>
      </c>
      <c r="G443">
        <v>0</v>
      </c>
      <c r="H443">
        <v>9.5</v>
      </c>
      <c r="I443" t="s">
        <v>14</v>
      </c>
      <c r="J443" t="str">
        <f t="shared" si="18"/>
        <v>Adult</v>
      </c>
      <c r="K443" t="str">
        <f t="shared" si="19"/>
        <v>Low</v>
      </c>
      <c r="L443">
        <f t="shared" si="20"/>
        <v>1</v>
      </c>
    </row>
    <row r="444" spans="1:12">
      <c r="A444">
        <v>0</v>
      </c>
      <c r="B444">
        <v>3</v>
      </c>
      <c r="C444" t="s">
        <v>463</v>
      </c>
      <c r="D444" t="s">
        <v>13</v>
      </c>
      <c r="E444">
        <v>25</v>
      </c>
      <c r="F444">
        <v>1</v>
      </c>
      <c r="G444">
        <v>0</v>
      </c>
      <c r="H444">
        <v>7.7750000000000004</v>
      </c>
      <c r="I444" t="s">
        <v>14</v>
      </c>
      <c r="J444" t="str">
        <f t="shared" si="18"/>
        <v>Adult</v>
      </c>
      <c r="K444" t="str">
        <f t="shared" si="19"/>
        <v>Low</v>
      </c>
      <c r="L444">
        <f t="shared" si="20"/>
        <v>2</v>
      </c>
    </row>
    <row r="445" spans="1:12">
      <c r="A445">
        <v>1</v>
      </c>
      <c r="B445">
        <v>2</v>
      </c>
      <c r="C445" t="s">
        <v>464</v>
      </c>
      <c r="D445" t="s">
        <v>17</v>
      </c>
      <c r="E445">
        <v>28</v>
      </c>
      <c r="F445">
        <v>0</v>
      </c>
      <c r="G445">
        <v>0</v>
      </c>
      <c r="H445">
        <v>13</v>
      </c>
      <c r="I445" t="s">
        <v>14</v>
      </c>
      <c r="J445" t="str">
        <f t="shared" si="18"/>
        <v>Adult</v>
      </c>
      <c r="K445" t="str">
        <f t="shared" si="19"/>
        <v>Low</v>
      </c>
      <c r="L445">
        <f t="shared" si="20"/>
        <v>1</v>
      </c>
    </row>
    <row r="446" spans="1:12">
      <c r="A446">
        <v>1</v>
      </c>
      <c r="B446">
        <v>3</v>
      </c>
      <c r="C446" t="s">
        <v>465</v>
      </c>
      <c r="D446" t="s">
        <v>13</v>
      </c>
      <c r="F446">
        <v>0</v>
      </c>
      <c r="G446">
        <v>0</v>
      </c>
      <c r="H446">
        <v>8.1125000000000007</v>
      </c>
      <c r="I446" t="s">
        <v>14</v>
      </c>
      <c r="J446" t="str">
        <f t="shared" si="18"/>
        <v>Child</v>
      </c>
      <c r="K446" t="str">
        <f t="shared" si="19"/>
        <v>Low</v>
      </c>
      <c r="L446">
        <f t="shared" si="20"/>
        <v>1</v>
      </c>
    </row>
    <row r="447" spans="1:12">
      <c r="A447">
        <v>1</v>
      </c>
      <c r="B447">
        <v>1</v>
      </c>
      <c r="C447" t="s">
        <v>466</v>
      </c>
      <c r="D447" t="s">
        <v>13</v>
      </c>
      <c r="E447">
        <v>4</v>
      </c>
      <c r="F447">
        <v>0</v>
      </c>
      <c r="G447">
        <v>2</v>
      </c>
      <c r="H447">
        <v>81.8583</v>
      </c>
      <c r="I447" t="s">
        <v>14</v>
      </c>
      <c r="J447" t="str">
        <f t="shared" si="18"/>
        <v>Child</v>
      </c>
      <c r="K447" t="str">
        <f t="shared" si="19"/>
        <v>High</v>
      </c>
      <c r="L447">
        <f t="shared" si="20"/>
        <v>3</v>
      </c>
    </row>
    <row r="448" spans="1:12">
      <c r="A448">
        <v>1</v>
      </c>
      <c r="B448">
        <v>2</v>
      </c>
      <c r="C448" t="s">
        <v>467</v>
      </c>
      <c r="D448" t="s">
        <v>17</v>
      </c>
      <c r="E448">
        <v>13</v>
      </c>
      <c r="F448">
        <v>0</v>
      </c>
      <c r="G448">
        <v>1</v>
      </c>
      <c r="H448">
        <v>19.5</v>
      </c>
      <c r="I448" t="s">
        <v>14</v>
      </c>
      <c r="J448" t="str">
        <f t="shared" si="18"/>
        <v>Child</v>
      </c>
      <c r="K448" t="str">
        <f t="shared" si="19"/>
        <v>Low</v>
      </c>
      <c r="L448">
        <f t="shared" si="20"/>
        <v>2</v>
      </c>
    </row>
    <row r="449" spans="1:12">
      <c r="A449">
        <v>1</v>
      </c>
      <c r="B449">
        <v>1</v>
      </c>
      <c r="C449" t="s">
        <v>468</v>
      </c>
      <c r="D449" t="s">
        <v>13</v>
      </c>
      <c r="E449">
        <v>34</v>
      </c>
      <c r="F449">
        <v>0</v>
      </c>
      <c r="G449">
        <v>0</v>
      </c>
      <c r="H449">
        <v>26.55</v>
      </c>
      <c r="I449" t="s">
        <v>14</v>
      </c>
      <c r="J449" t="str">
        <f t="shared" si="18"/>
        <v>Adult</v>
      </c>
      <c r="K449" t="str">
        <f t="shared" si="19"/>
        <v>Low</v>
      </c>
      <c r="L449">
        <f t="shared" si="20"/>
        <v>1</v>
      </c>
    </row>
    <row r="450" spans="1:12">
      <c r="A450">
        <v>1</v>
      </c>
      <c r="B450">
        <v>3</v>
      </c>
      <c r="C450" t="s">
        <v>469</v>
      </c>
      <c r="D450" t="s">
        <v>17</v>
      </c>
      <c r="E450">
        <v>5</v>
      </c>
      <c r="F450">
        <v>2</v>
      </c>
      <c r="G450">
        <v>1</v>
      </c>
      <c r="H450">
        <v>19.258299999999998</v>
      </c>
      <c r="I450" t="s">
        <v>18</v>
      </c>
      <c r="J450" t="str">
        <f t="shared" si="18"/>
        <v>Child</v>
      </c>
      <c r="K450" t="str">
        <f t="shared" si="19"/>
        <v>Low</v>
      </c>
      <c r="L450">
        <f t="shared" si="20"/>
        <v>4</v>
      </c>
    </row>
    <row r="451" spans="1:12">
      <c r="A451">
        <v>1</v>
      </c>
      <c r="B451">
        <v>1</v>
      </c>
      <c r="C451" t="s">
        <v>470</v>
      </c>
      <c r="D451" t="s">
        <v>13</v>
      </c>
      <c r="E451">
        <v>52</v>
      </c>
      <c r="F451">
        <v>0</v>
      </c>
      <c r="G451">
        <v>0</v>
      </c>
      <c r="H451">
        <v>30.5</v>
      </c>
      <c r="I451" t="s">
        <v>14</v>
      </c>
      <c r="J451" t="str">
        <f t="shared" ref="J451:J514" si="21">IF(E451&lt;18,"Child","Adult")</f>
        <v>Adult</v>
      </c>
      <c r="K451" t="str">
        <f t="shared" ref="K451:K514" si="22">IF(H451&gt;50,"High","Low")</f>
        <v>Low</v>
      </c>
      <c r="L451">
        <f t="shared" ref="L451:L514" si="23">F451+G451+1</f>
        <v>1</v>
      </c>
    </row>
    <row r="452" spans="1:12">
      <c r="A452">
        <v>0</v>
      </c>
      <c r="B452">
        <v>2</v>
      </c>
      <c r="C452" t="s">
        <v>471</v>
      </c>
      <c r="D452" t="s">
        <v>13</v>
      </c>
      <c r="E452">
        <v>36</v>
      </c>
      <c r="F452">
        <v>1</v>
      </c>
      <c r="G452">
        <v>2</v>
      </c>
      <c r="H452">
        <v>27.75</v>
      </c>
      <c r="I452" t="s">
        <v>14</v>
      </c>
      <c r="J452" t="str">
        <f t="shared" si="21"/>
        <v>Adult</v>
      </c>
      <c r="K452" t="str">
        <f t="shared" si="22"/>
        <v>Low</v>
      </c>
      <c r="L452">
        <f t="shared" si="23"/>
        <v>4</v>
      </c>
    </row>
    <row r="453" spans="1:12">
      <c r="A453">
        <v>0</v>
      </c>
      <c r="B453">
        <v>3</v>
      </c>
      <c r="C453" t="s">
        <v>472</v>
      </c>
      <c r="D453" t="s">
        <v>13</v>
      </c>
      <c r="F453">
        <v>1</v>
      </c>
      <c r="G453">
        <v>0</v>
      </c>
      <c r="H453">
        <v>19.966699999999999</v>
      </c>
      <c r="I453" t="s">
        <v>14</v>
      </c>
      <c r="J453" t="str">
        <f t="shared" si="21"/>
        <v>Child</v>
      </c>
      <c r="K453" t="str">
        <f t="shared" si="22"/>
        <v>Low</v>
      </c>
      <c r="L453">
        <f t="shared" si="23"/>
        <v>2</v>
      </c>
    </row>
    <row r="454" spans="1:12">
      <c r="A454">
        <v>0</v>
      </c>
      <c r="B454">
        <v>1</v>
      </c>
      <c r="C454" t="s">
        <v>473</v>
      </c>
      <c r="D454" t="s">
        <v>13</v>
      </c>
      <c r="E454">
        <v>30</v>
      </c>
      <c r="F454">
        <v>0</v>
      </c>
      <c r="G454">
        <v>0</v>
      </c>
      <c r="H454">
        <v>27.75</v>
      </c>
      <c r="I454" t="s">
        <v>18</v>
      </c>
      <c r="J454" t="str">
        <f t="shared" si="21"/>
        <v>Adult</v>
      </c>
      <c r="K454" t="str">
        <f t="shared" si="22"/>
        <v>Low</v>
      </c>
      <c r="L454">
        <f t="shared" si="23"/>
        <v>1</v>
      </c>
    </row>
    <row r="455" spans="1:12">
      <c r="A455">
        <v>1</v>
      </c>
      <c r="B455">
        <v>1</v>
      </c>
      <c r="C455" t="s">
        <v>474</v>
      </c>
      <c r="D455" t="s">
        <v>13</v>
      </c>
      <c r="E455">
        <v>49</v>
      </c>
      <c r="F455">
        <v>1</v>
      </c>
      <c r="G455">
        <v>0</v>
      </c>
      <c r="H455">
        <v>89.104200000000006</v>
      </c>
      <c r="I455" t="s">
        <v>18</v>
      </c>
      <c r="J455" t="str">
        <f t="shared" si="21"/>
        <v>Adult</v>
      </c>
      <c r="K455" t="str">
        <f t="shared" si="22"/>
        <v>High</v>
      </c>
      <c r="L455">
        <f t="shared" si="23"/>
        <v>2</v>
      </c>
    </row>
    <row r="456" spans="1:12">
      <c r="A456">
        <v>0</v>
      </c>
      <c r="B456">
        <v>3</v>
      </c>
      <c r="C456" t="s">
        <v>475</v>
      </c>
      <c r="D456" t="s">
        <v>13</v>
      </c>
      <c r="F456">
        <v>0</v>
      </c>
      <c r="G456">
        <v>0</v>
      </c>
      <c r="H456">
        <v>8.0500000000000007</v>
      </c>
      <c r="I456" t="s">
        <v>14</v>
      </c>
      <c r="J456" t="str">
        <f t="shared" si="21"/>
        <v>Child</v>
      </c>
      <c r="K456" t="str">
        <f t="shared" si="22"/>
        <v>Low</v>
      </c>
      <c r="L456">
        <f t="shared" si="23"/>
        <v>1</v>
      </c>
    </row>
    <row r="457" spans="1:12">
      <c r="A457">
        <v>1</v>
      </c>
      <c r="B457">
        <v>3</v>
      </c>
      <c r="C457" t="s">
        <v>476</v>
      </c>
      <c r="D457" t="s">
        <v>13</v>
      </c>
      <c r="E457">
        <v>29</v>
      </c>
      <c r="F457">
        <v>0</v>
      </c>
      <c r="G457">
        <v>0</v>
      </c>
      <c r="H457">
        <v>7.8958000000000004</v>
      </c>
      <c r="I457" t="s">
        <v>18</v>
      </c>
      <c r="J457" t="str">
        <f t="shared" si="21"/>
        <v>Adult</v>
      </c>
      <c r="K457" t="str">
        <f t="shared" si="22"/>
        <v>Low</v>
      </c>
      <c r="L457">
        <f t="shared" si="23"/>
        <v>1</v>
      </c>
    </row>
    <row r="458" spans="1:12">
      <c r="A458">
        <v>0</v>
      </c>
      <c r="B458">
        <v>1</v>
      </c>
      <c r="C458" t="s">
        <v>477</v>
      </c>
      <c r="D458" t="s">
        <v>13</v>
      </c>
      <c r="E458">
        <v>65</v>
      </c>
      <c r="F458">
        <v>0</v>
      </c>
      <c r="G458">
        <v>0</v>
      </c>
      <c r="H458">
        <v>26.55</v>
      </c>
      <c r="I458" t="s">
        <v>14</v>
      </c>
      <c r="J458" t="str">
        <f t="shared" si="21"/>
        <v>Adult</v>
      </c>
      <c r="K458" t="str">
        <f t="shared" si="22"/>
        <v>Low</v>
      </c>
      <c r="L458">
        <f t="shared" si="23"/>
        <v>1</v>
      </c>
    </row>
    <row r="459" spans="1:12">
      <c r="A459">
        <v>1</v>
      </c>
      <c r="B459">
        <v>1</v>
      </c>
      <c r="C459" t="s">
        <v>478</v>
      </c>
      <c r="D459" t="s">
        <v>17</v>
      </c>
      <c r="F459">
        <v>1</v>
      </c>
      <c r="G459">
        <v>0</v>
      </c>
      <c r="H459">
        <v>51.862499999999997</v>
      </c>
      <c r="I459" t="s">
        <v>14</v>
      </c>
      <c r="J459" t="str">
        <f t="shared" si="21"/>
        <v>Child</v>
      </c>
      <c r="K459" t="str">
        <f t="shared" si="22"/>
        <v>High</v>
      </c>
      <c r="L459">
        <f t="shared" si="23"/>
        <v>2</v>
      </c>
    </row>
    <row r="460" spans="1:12">
      <c r="A460">
        <v>1</v>
      </c>
      <c r="B460">
        <v>2</v>
      </c>
      <c r="C460" t="s">
        <v>479</v>
      </c>
      <c r="D460" t="s">
        <v>17</v>
      </c>
      <c r="E460">
        <v>50</v>
      </c>
      <c r="F460">
        <v>0</v>
      </c>
      <c r="G460">
        <v>0</v>
      </c>
      <c r="H460">
        <v>10.5</v>
      </c>
      <c r="I460" t="s">
        <v>14</v>
      </c>
      <c r="J460" t="str">
        <f t="shared" si="21"/>
        <v>Adult</v>
      </c>
      <c r="K460" t="str">
        <f t="shared" si="22"/>
        <v>Low</v>
      </c>
      <c r="L460">
        <f t="shared" si="23"/>
        <v>1</v>
      </c>
    </row>
    <row r="461" spans="1:12">
      <c r="A461">
        <v>0</v>
      </c>
      <c r="B461">
        <v>3</v>
      </c>
      <c r="C461" t="s">
        <v>480</v>
      </c>
      <c r="D461" t="s">
        <v>13</v>
      </c>
      <c r="F461">
        <v>0</v>
      </c>
      <c r="G461">
        <v>0</v>
      </c>
      <c r="H461">
        <v>7.75</v>
      </c>
      <c r="I461" t="s">
        <v>26</v>
      </c>
      <c r="J461" t="str">
        <f t="shared" si="21"/>
        <v>Child</v>
      </c>
      <c r="K461" t="str">
        <f t="shared" si="22"/>
        <v>Low</v>
      </c>
      <c r="L461">
        <f t="shared" si="23"/>
        <v>1</v>
      </c>
    </row>
    <row r="462" spans="1:12">
      <c r="A462">
        <v>1</v>
      </c>
      <c r="B462">
        <v>1</v>
      </c>
      <c r="C462" t="s">
        <v>481</v>
      </c>
      <c r="D462" t="s">
        <v>13</v>
      </c>
      <c r="E462">
        <v>48</v>
      </c>
      <c r="F462">
        <v>0</v>
      </c>
      <c r="G462">
        <v>0</v>
      </c>
      <c r="H462">
        <v>26.55</v>
      </c>
      <c r="I462" t="s">
        <v>14</v>
      </c>
      <c r="J462" t="str">
        <f t="shared" si="21"/>
        <v>Adult</v>
      </c>
      <c r="K462" t="str">
        <f t="shared" si="22"/>
        <v>Low</v>
      </c>
      <c r="L462">
        <f t="shared" si="23"/>
        <v>1</v>
      </c>
    </row>
    <row r="463" spans="1:12">
      <c r="A463">
        <v>0</v>
      </c>
      <c r="B463">
        <v>3</v>
      </c>
      <c r="C463" t="s">
        <v>482</v>
      </c>
      <c r="D463" t="s">
        <v>13</v>
      </c>
      <c r="E463">
        <v>34</v>
      </c>
      <c r="F463">
        <v>0</v>
      </c>
      <c r="G463">
        <v>0</v>
      </c>
      <c r="H463">
        <v>8.0500000000000007</v>
      </c>
      <c r="I463" t="s">
        <v>14</v>
      </c>
      <c r="J463" t="str">
        <f t="shared" si="21"/>
        <v>Adult</v>
      </c>
      <c r="K463" t="str">
        <f t="shared" si="22"/>
        <v>Low</v>
      </c>
      <c r="L463">
        <f t="shared" si="23"/>
        <v>1</v>
      </c>
    </row>
    <row r="464" spans="1:12">
      <c r="A464">
        <v>0</v>
      </c>
      <c r="B464">
        <v>1</v>
      </c>
      <c r="C464" t="s">
        <v>483</v>
      </c>
      <c r="D464" t="s">
        <v>13</v>
      </c>
      <c r="E464">
        <v>47</v>
      </c>
      <c r="F464">
        <v>0</v>
      </c>
      <c r="G464">
        <v>0</v>
      </c>
      <c r="H464">
        <v>38.5</v>
      </c>
      <c r="I464" t="s">
        <v>14</v>
      </c>
      <c r="J464" t="str">
        <f t="shared" si="21"/>
        <v>Adult</v>
      </c>
      <c r="K464" t="str">
        <f t="shared" si="22"/>
        <v>Low</v>
      </c>
      <c r="L464">
        <f t="shared" si="23"/>
        <v>1</v>
      </c>
    </row>
    <row r="465" spans="1:12">
      <c r="A465">
        <v>0</v>
      </c>
      <c r="B465">
        <v>2</v>
      </c>
      <c r="C465" t="s">
        <v>484</v>
      </c>
      <c r="D465" t="s">
        <v>13</v>
      </c>
      <c r="E465">
        <v>48</v>
      </c>
      <c r="F465">
        <v>0</v>
      </c>
      <c r="G465">
        <v>0</v>
      </c>
      <c r="H465">
        <v>13</v>
      </c>
      <c r="I465" t="s">
        <v>14</v>
      </c>
      <c r="J465" t="str">
        <f t="shared" si="21"/>
        <v>Adult</v>
      </c>
      <c r="K465" t="str">
        <f t="shared" si="22"/>
        <v>Low</v>
      </c>
      <c r="L465">
        <f t="shared" si="23"/>
        <v>1</v>
      </c>
    </row>
    <row r="466" spans="1:12">
      <c r="A466">
        <v>0</v>
      </c>
      <c r="B466">
        <v>3</v>
      </c>
      <c r="C466" t="s">
        <v>485</v>
      </c>
      <c r="D466" t="s">
        <v>13</v>
      </c>
      <c r="F466">
        <v>0</v>
      </c>
      <c r="G466">
        <v>0</v>
      </c>
      <c r="H466">
        <v>8.0500000000000007</v>
      </c>
      <c r="I466" t="s">
        <v>14</v>
      </c>
      <c r="J466" t="str">
        <f t="shared" si="21"/>
        <v>Child</v>
      </c>
      <c r="K466" t="str">
        <f t="shared" si="22"/>
        <v>Low</v>
      </c>
      <c r="L466">
        <f t="shared" si="23"/>
        <v>1</v>
      </c>
    </row>
    <row r="467" spans="1:12">
      <c r="A467">
        <v>0</v>
      </c>
      <c r="B467">
        <v>3</v>
      </c>
      <c r="C467" t="s">
        <v>486</v>
      </c>
      <c r="D467" t="s">
        <v>13</v>
      </c>
      <c r="E467">
        <v>38</v>
      </c>
      <c r="F467">
        <v>0</v>
      </c>
      <c r="G467">
        <v>0</v>
      </c>
      <c r="H467">
        <v>7.05</v>
      </c>
      <c r="I467" t="s">
        <v>14</v>
      </c>
      <c r="J467" t="str">
        <f t="shared" si="21"/>
        <v>Adult</v>
      </c>
      <c r="K467" t="str">
        <f t="shared" si="22"/>
        <v>Low</v>
      </c>
      <c r="L467">
        <f t="shared" si="23"/>
        <v>1</v>
      </c>
    </row>
    <row r="468" spans="1:12">
      <c r="A468">
        <v>0</v>
      </c>
      <c r="B468">
        <v>2</v>
      </c>
      <c r="C468" t="s">
        <v>487</v>
      </c>
      <c r="D468" t="s">
        <v>13</v>
      </c>
      <c r="F468">
        <v>0</v>
      </c>
      <c r="G468">
        <v>0</v>
      </c>
      <c r="H468">
        <v>0</v>
      </c>
      <c r="I468" t="s">
        <v>14</v>
      </c>
      <c r="J468" t="str">
        <f t="shared" si="21"/>
        <v>Child</v>
      </c>
      <c r="K468" t="str">
        <f t="shared" si="22"/>
        <v>Low</v>
      </c>
      <c r="L468">
        <f t="shared" si="23"/>
        <v>1</v>
      </c>
    </row>
    <row r="469" spans="1:12">
      <c r="A469">
        <v>0</v>
      </c>
      <c r="B469">
        <v>1</v>
      </c>
      <c r="C469" t="s">
        <v>488</v>
      </c>
      <c r="D469" t="s">
        <v>13</v>
      </c>
      <c r="E469">
        <v>56</v>
      </c>
      <c r="F469">
        <v>0</v>
      </c>
      <c r="G469">
        <v>0</v>
      </c>
      <c r="H469">
        <v>26.55</v>
      </c>
      <c r="I469" t="s">
        <v>14</v>
      </c>
      <c r="J469" t="str">
        <f t="shared" si="21"/>
        <v>Adult</v>
      </c>
      <c r="K469" t="str">
        <f t="shared" si="22"/>
        <v>Low</v>
      </c>
      <c r="L469">
        <f t="shared" si="23"/>
        <v>1</v>
      </c>
    </row>
    <row r="470" spans="1:12">
      <c r="A470">
        <v>0</v>
      </c>
      <c r="B470">
        <v>3</v>
      </c>
      <c r="C470" t="s">
        <v>489</v>
      </c>
      <c r="D470" t="s">
        <v>13</v>
      </c>
      <c r="F470">
        <v>0</v>
      </c>
      <c r="G470">
        <v>0</v>
      </c>
      <c r="H470">
        <v>7.7249999999999996</v>
      </c>
      <c r="I470" t="s">
        <v>26</v>
      </c>
      <c r="J470" t="str">
        <f t="shared" si="21"/>
        <v>Child</v>
      </c>
      <c r="K470" t="str">
        <f t="shared" si="22"/>
        <v>Low</v>
      </c>
      <c r="L470">
        <f t="shared" si="23"/>
        <v>1</v>
      </c>
    </row>
    <row r="471" spans="1:12">
      <c r="A471">
        <v>1</v>
      </c>
      <c r="B471">
        <v>3</v>
      </c>
      <c r="C471" t="s">
        <v>490</v>
      </c>
      <c r="D471" t="s">
        <v>17</v>
      </c>
      <c r="E471">
        <v>0.75</v>
      </c>
      <c r="F471">
        <v>2</v>
      </c>
      <c r="G471">
        <v>1</v>
      </c>
      <c r="H471">
        <v>19.258299999999998</v>
      </c>
      <c r="I471" t="s">
        <v>18</v>
      </c>
      <c r="J471" t="str">
        <f t="shared" si="21"/>
        <v>Child</v>
      </c>
      <c r="K471" t="str">
        <f t="shared" si="22"/>
        <v>Low</v>
      </c>
      <c r="L471">
        <f t="shared" si="23"/>
        <v>4</v>
      </c>
    </row>
    <row r="472" spans="1:12">
      <c r="A472">
        <v>0</v>
      </c>
      <c r="B472">
        <v>3</v>
      </c>
      <c r="C472" t="s">
        <v>491</v>
      </c>
      <c r="D472" t="s">
        <v>13</v>
      </c>
      <c r="F472">
        <v>0</v>
      </c>
      <c r="G472">
        <v>0</v>
      </c>
      <c r="H472">
        <v>7.25</v>
      </c>
      <c r="I472" t="s">
        <v>14</v>
      </c>
      <c r="J472" t="str">
        <f t="shared" si="21"/>
        <v>Child</v>
      </c>
      <c r="K472" t="str">
        <f t="shared" si="22"/>
        <v>Low</v>
      </c>
      <c r="L472">
        <f t="shared" si="23"/>
        <v>1</v>
      </c>
    </row>
    <row r="473" spans="1:12">
      <c r="A473">
        <v>0</v>
      </c>
      <c r="B473">
        <v>3</v>
      </c>
      <c r="C473" t="s">
        <v>492</v>
      </c>
      <c r="D473" t="s">
        <v>13</v>
      </c>
      <c r="E473">
        <v>38</v>
      </c>
      <c r="F473">
        <v>0</v>
      </c>
      <c r="G473">
        <v>0</v>
      </c>
      <c r="H473">
        <v>8.6624999999999996</v>
      </c>
      <c r="I473" t="s">
        <v>14</v>
      </c>
      <c r="J473" t="str">
        <f t="shared" si="21"/>
        <v>Adult</v>
      </c>
      <c r="K473" t="str">
        <f t="shared" si="22"/>
        <v>Low</v>
      </c>
      <c r="L473">
        <f t="shared" si="23"/>
        <v>1</v>
      </c>
    </row>
    <row r="474" spans="1:12">
      <c r="A474">
        <v>1</v>
      </c>
      <c r="B474">
        <v>2</v>
      </c>
      <c r="C474" t="s">
        <v>493</v>
      </c>
      <c r="D474" t="s">
        <v>17</v>
      </c>
      <c r="E474">
        <v>33</v>
      </c>
      <c r="F474">
        <v>1</v>
      </c>
      <c r="G474">
        <v>2</v>
      </c>
      <c r="H474">
        <v>27.75</v>
      </c>
      <c r="I474" t="s">
        <v>14</v>
      </c>
      <c r="J474" t="str">
        <f t="shared" si="21"/>
        <v>Adult</v>
      </c>
      <c r="K474" t="str">
        <f t="shared" si="22"/>
        <v>Low</v>
      </c>
      <c r="L474">
        <f t="shared" si="23"/>
        <v>4</v>
      </c>
    </row>
    <row r="475" spans="1:12">
      <c r="A475">
        <v>1</v>
      </c>
      <c r="B475">
        <v>2</v>
      </c>
      <c r="C475" t="s">
        <v>494</v>
      </c>
      <c r="D475" t="s">
        <v>17</v>
      </c>
      <c r="E475">
        <v>23</v>
      </c>
      <c r="F475">
        <v>0</v>
      </c>
      <c r="G475">
        <v>0</v>
      </c>
      <c r="H475">
        <v>13.791700000000001</v>
      </c>
      <c r="I475" t="s">
        <v>18</v>
      </c>
      <c r="J475" t="str">
        <f t="shared" si="21"/>
        <v>Adult</v>
      </c>
      <c r="K475" t="str">
        <f t="shared" si="22"/>
        <v>Low</v>
      </c>
      <c r="L475">
        <f t="shared" si="23"/>
        <v>1</v>
      </c>
    </row>
    <row r="476" spans="1:12">
      <c r="A476">
        <v>0</v>
      </c>
      <c r="B476">
        <v>3</v>
      </c>
      <c r="C476" t="s">
        <v>495</v>
      </c>
      <c r="D476" t="s">
        <v>17</v>
      </c>
      <c r="E476">
        <v>22</v>
      </c>
      <c r="F476">
        <v>0</v>
      </c>
      <c r="G476">
        <v>0</v>
      </c>
      <c r="H476">
        <v>9.8375000000000004</v>
      </c>
      <c r="I476" t="s">
        <v>14</v>
      </c>
      <c r="J476" t="str">
        <f t="shared" si="21"/>
        <v>Adult</v>
      </c>
      <c r="K476" t="str">
        <f t="shared" si="22"/>
        <v>Low</v>
      </c>
      <c r="L476">
        <f t="shared" si="23"/>
        <v>1</v>
      </c>
    </row>
    <row r="477" spans="1:12">
      <c r="A477">
        <v>0</v>
      </c>
      <c r="B477">
        <v>1</v>
      </c>
      <c r="C477" t="s">
        <v>496</v>
      </c>
      <c r="D477" t="s">
        <v>13</v>
      </c>
      <c r="F477">
        <v>0</v>
      </c>
      <c r="G477">
        <v>0</v>
      </c>
      <c r="H477">
        <v>52</v>
      </c>
      <c r="I477" t="s">
        <v>14</v>
      </c>
      <c r="J477" t="str">
        <f t="shared" si="21"/>
        <v>Child</v>
      </c>
      <c r="K477" t="str">
        <f t="shared" si="22"/>
        <v>High</v>
      </c>
      <c r="L477">
        <f t="shared" si="23"/>
        <v>1</v>
      </c>
    </row>
    <row r="478" spans="1:12">
      <c r="A478">
        <v>0</v>
      </c>
      <c r="B478">
        <v>2</v>
      </c>
      <c r="C478" t="s">
        <v>497</v>
      </c>
      <c r="D478" t="s">
        <v>13</v>
      </c>
      <c r="E478">
        <v>34</v>
      </c>
      <c r="F478">
        <v>1</v>
      </c>
      <c r="G478">
        <v>0</v>
      </c>
      <c r="H478">
        <v>21</v>
      </c>
      <c r="I478" t="s">
        <v>14</v>
      </c>
      <c r="J478" t="str">
        <f t="shared" si="21"/>
        <v>Adult</v>
      </c>
      <c r="K478" t="str">
        <f t="shared" si="22"/>
        <v>Low</v>
      </c>
      <c r="L478">
        <f t="shared" si="23"/>
        <v>2</v>
      </c>
    </row>
    <row r="479" spans="1:12">
      <c r="A479">
        <v>0</v>
      </c>
      <c r="B479">
        <v>3</v>
      </c>
      <c r="C479" t="s">
        <v>498</v>
      </c>
      <c r="D479" t="s">
        <v>13</v>
      </c>
      <c r="E479">
        <v>29</v>
      </c>
      <c r="F479">
        <v>1</v>
      </c>
      <c r="G479">
        <v>0</v>
      </c>
      <c r="H479">
        <v>7.0457999999999998</v>
      </c>
      <c r="I479" t="s">
        <v>14</v>
      </c>
      <c r="J479" t="str">
        <f t="shared" si="21"/>
        <v>Adult</v>
      </c>
      <c r="K479" t="str">
        <f t="shared" si="22"/>
        <v>Low</v>
      </c>
      <c r="L479">
        <f t="shared" si="23"/>
        <v>2</v>
      </c>
    </row>
    <row r="480" spans="1:12">
      <c r="A480">
        <v>0</v>
      </c>
      <c r="B480">
        <v>3</v>
      </c>
      <c r="C480" t="s">
        <v>499</v>
      </c>
      <c r="D480" t="s">
        <v>13</v>
      </c>
      <c r="E480">
        <v>22</v>
      </c>
      <c r="F480">
        <v>0</v>
      </c>
      <c r="G480">
        <v>0</v>
      </c>
      <c r="H480">
        <v>7.5208000000000004</v>
      </c>
      <c r="I480" t="s">
        <v>14</v>
      </c>
      <c r="J480" t="str">
        <f t="shared" si="21"/>
        <v>Adult</v>
      </c>
      <c r="K480" t="str">
        <f t="shared" si="22"/>
        <v>Low</v>
      </c>
      <c r="L480">
        <f t="shared" si="23"/>
        <v>1</v>
      </c>
    </row>
    <row r="481" spans="1:12">
      <c r="A481">
        <v>1</v>
      </c>
      <c r="B481">
        <v>3</v>
      </c>
      <c r="C481" t="s">
        <v>500</v>
      </c>
      <c r="D481" t="s">
        <v>17</v>
      </c>
      <c r="E481">
        <v>2</v>
      </c>
      <c r="F481">
        <v>0</v>
      </c>
      <c r="G481">
        <v>1</v>
      </c>
      <c r="H481">
        <v>12.2875</v>
      </c>
      <c r="I481" t="s">
        <v>14</v>
      </c>
      <c r="J481" t="str">
        <f t="shared" si="21"/>
        <v>Child</v>
      </c>
      <c r="K481" t="str">
        <f t="shared" si="22"/>
        <v>Low</v>
      </c>
      <c r="L481">
        <f t="shared" si="23"/>
        <v>2</v>
      </c>
    </row>
    <row r="482" spans="1:12">
      <c r="A482">
        <v>0</v>
      </c>
      <c r="B482">
        <v>3</v>
      </c>
      <c r="C482" t="s">
        <v>501</v>
      </c>
      <c r="D482" t="s">
        <v>13</v>
      </c>
      <c r="E482">
        <v>9</v>
      </c>
      <c r="F482">
        <v>5</v>
      </c>
      <c r="G482">
        <v>2</v>
      </c>
      <c r="H482">
        <v>46.9</v>
      </c>
      <c r="I482" t="s">
        <v>14</v>
      </c>
      <c r="J482" t="str">
        <f t="shared" si="21"/>
        <v>Child</v>
      </c>
      <c r="K482" t="str">
        <f t="shared" si="22"/>
        <v>Low</v>
      </c>
      <c r="L482">
        <f t="shared" si="23"/>
        <v>8</v>
      </c>
    </row>
    <row r="483" spans="1:12">
      <c r="A483">
        <v>0</v>
      </c>
      <c r="B483">
        <v>2</v>
      </c>
      <c r="C483" t="s">
        <v>502</v>
      </c>
      <c r="D483" t="s">
        <v>13</v>
      </c>
      <c r="F483">
        <v>0</v>
      </c>
      <c r="G483">
        <v>0</v>
      </c>
      <c r="H483">
        <v>0</v>
      </c>
      <c r="I483" t="s">
        <v>14</v>
      </c>
      <c r="J483" t="str">
        <f t="shared" si="21"/>
        <v>Child</v>
      </c>
      <c r="K483" t="str">
        <f t="shared" si="22"/>
        <v>Low</v>
      </c>
      <c r="L483">
        <f t="shared" si="23"/>
        <v>1</v>
      </c>
    </row>
    <row r="484" spans="1:12">
      <c r="A484">
        <v>0</v>
      </c>
      <c r="B484">
        <v>3</v>
      </c>
      <c r="C484" t="s">
        <v>503</v>
      </c>
      <c r="D484" t="s">
        <v>13</v>
      </c>
      <c r="E484">
        <v>50</v>
      </c>
      <c r="F484">
        <v>0</v>
      </c>
      <c r="G484">
        <v>0</v>
      </c>
      <c r="H484">
        <v>8.0500000000000007</v>
      </c>
      <c r="I484" t="s">
        <v>14</v>
      </c>
      <c r="J484" t="str">
        <f t="shared" si="21"/>
        <v>Adult</v>
      </c>
      <c r="K484" t="str">
        <f t="shared" si="22"/>
        <v>Low</v>
      </c>
      <c r="L484">
        <f t="shared" si="23"/>
        <v>1</v>
      </c>
    </row>
    <row r="485" spans="1:12">
      <c r="A485">
        <v>1</v>
      </c>
      <c r="B485">
        <v>3</v>
      </c>
      <c r="C485" t="s">
        <v>504</v>
      </c>
      <c r="D485" t="s">
        <v>17</v>
      </c>
      <c r="E485">
        <v>63</v>
      </c>
      <c r="F485">
        <v>0</v>
      </c>
      <c r="G485">
        <v>0</v>
      </c>
      <c r="H485">
        <v>9.5875000000000004</v>
      </c>
      <c r="I485" t="s">
        <v>14</v>
      </c>
      <c r="J485" t="str">
        <f t="shared" si="21"/>
        <v>Adult</v>
      </c>
      <c r="K485" t="str">
        <f t="shared" si="22"/>
        <v>Low</v>
      </c>
      <c r="L485">
        <f t="shared" si="23"/>
        <v>1</v>
      </c>
    </row>
    <row r="486" spans="1:12">
      <c r="A486">
        <v>1</v>
      </c>
      <c r="B486">
        <v>1</v>
      </c>
      <c r="C486" t="s">
        <v>505</v>
      </c>
      <c r="D486" t="s">
        <v>13</v>
      </c>
      <c r="E486">
        <v>25</v>
      </c>
      <c r="F486">
        <v>1</v>
      </c>
      <c r="G486">
        <v>0</v>
      </c>
      <c r="H486">
        <v>91.0792</v>
      </c>
      <c r="I486" t="s">
        <v>18</v>
      </c>
      <c r="J486" t="str">
        <f t="shared" si="21"/>
        <v>Adult</v>
      </c>
      <c r="K486" t="str">
        <f t="shared" si="22"/>
        <v>High</v>
      </c>
      <c r="L486">
        <f t="shared" si="23"/>
        <v>2</v>
      </c>
    </row>
    <row r="487" spans="1:12">
      <c r="A487">
        <v>0</v>
      </c>
      <c r="B487">
        <v>3</v>
      </c>
      <c r="C487" t="s">
        <v>506</v>
      </c>
      <c r="D487" t="s">
        <v>17</v>
      </c>
      <c r="F487">
        <v>3</v>
      </c>
      <c r="G487">
        <v>1</v>
      </c>
      <c r="H487">
        <v>25.466699999999999</v>
      </c>
      <c r="I487" t="s">
        <v>14</v>
      </c>
      <c r="J487" t="str">
        <f t="shared" si="21"/>
        <v>Child</v>
      </c>
      <c r="K487" t="str">
        <f t="shared" si="22"/>
        <v>Low</v>
      </c>
      <c r="L487">
        <f t="shared" si="23"/>
        <v>5</v>
      </c>
    </row>
    <row r="488" spans="1:12">
      <c r="A488">
        <v>1</v>
      </c>
      <c r="B488">
        <v>1</v>
      </c>
      <c r="C488" t="s">
        <v>507</v>
      </c>
      <c r="D488" t="s">
        <v>17</v>
      </c>
      <c r="E488">
        <v>35</v>
      </c>
      <c r="F488">
        <v>1</v>
      </c>
      <c r="G488">
        <v>0</v>
      </c>
      <c r="H488">
        <v>90</v>
      </c>
      <c r="I488" t="s">
        <v>14</v>
      </c>
      <c r="J488" t="str">
        <f t="shared" si="21"/>
        <v>Adult</v>
      </c>
      <c r="K488" t="str">
        <f t="shared" si="22"/>
        <v>High</v>
      </c>
      <c r="L488">
        <f t="shared" si="23"/>
        <v>2</v>
      </c>
    </row>
    <row r="489" spans="1:12">
      <c r="A489">
        <v>0</v>
      </c>
      <c r="B489">
        <v>1</v>
      </c>
      <c r="C489" t="s">
        <v>508</v>
      </c>
      <c r="D489" t="s">
        <v>13</v>
      </c>
      <c r="E489">
        <v>58</v>
      </c>
      <c r="F489">
        <v>0</v>
      </c>
      <c r="G489">
        <v>0</v>
      </c>
      <c r="H489">
        <v>29.7</v>
      </c>
      <c r="I489" t="s">
        <v>18</v>
      </c>
      <c r="J489" t="str">
        <f t="shared" si="21"/>
        <v>Adult</v>
      </c>
      <c r="K489" t="str">
        <f t="shared" si="22"/>
        <v>Low</v>
      </c>
      <c r="L489">
        <f t="shared" si="23"/>
        <v>1</v>
      </c>
    </row>
    <row r="490" spans="1:12">
      <c r="A490">
        <v>0</v>
      </c>
      <c r="B490">
        <v>3</v>
      </c>
      <c r="C490" t="s">
        <v>509</v>
      </c>
      <c r="D490" t="s">
        <v>13</v>
      </c>
      <c r="E490">
        <v>30</v>
      </c>
      <c r="F490">
        <v>0</v>
      </c>
      <c r="G490">
        <v>0</v>
      </c>
      <c r="H490">
        <v>8.0500000000000007</v>
      </c>
      <c r="I490" t="s">
        <v>14</v>
      </c>
      <c r="J490" t="str">
        <f t="shared" si="21"/>
        <v>Adult</v>
      </c>
      <c r="K490" t="str">
        <f t="shared" si="22"/>
        <v>Low</v>
      </c>
      <c r="L490">
        <f t="shared" si="23"/>
        <v>1</v>
      </c>
    </row>
    <row r="491" spans="1:12">
      <c r="A491">
        <v>1</v>
      </c>
      <c r="B491">
        <v>3</v>
      </c>
      <c r="C491" t="s">
        <v>510</v>
      </c>
      <c r="D491" t="s">
        <v>13</v>
      </c>
      <c r="E491">
        <v>9</v>
      </c>
      <c r="F491">
        <v>1</v>
      </c>
      <c r="G491">
        <v>1</v>
      </c>
      <c r="H491">
        <v>15.9</v>
      </c>
      <c r="I491" t="s">
        <v>14</v>
      </c>
      <c r="J491" t="str">
        <f t="shared" si="21"/>
        <v>Child</v>
      </c>
      <c r="K491" t="str">
        <f t="shared" si="22"/>
        <v>Low</v>
      </c>
      <c r="L491">
        <f t="shared" si="23"/>
        <v>3</v>
      </c>
    </row>
    <row r="492" spans="1:12">
      <c r="A492">
        <v>0</v>
      </c>
      <c r="B492">
        <v>3</v>
      </c>
      <c r="C492" t="s">
        <v>511</v>
      </c>
      <c r="D492" t="s">
        <v>13</v>
      </c>
      <c r="F492">
        <v>1</v>
      </c>
      <c r="G492">
        <v>0</v>
      </c>
      <c r="H492">
        <v>19.966699999999999</v>
      </c>
      <c r="I492" t="s">
        <v>14</v>
      </c>
      <c r="J492" t="str">
        <f t="shared" si="21"/>
        <v>Child</v>
      </c>
      <c r="K492" t="str">
        <f t="shared" si="22"/>
        <v>Low</v>
      </c>
      <c r="L492">
        <f t="shared" si="23"/>
        <v>2</v>
      </c>
    </row>
    <row r="493" spans="1:12">
      <c r="A493">
        <v>0</v>
      </c>
      <c r="B493">
        <v>3</v>
      </c>
      <c r="C493" t="s">
        <v>512</v>
      </c>
      <c r="D493" t="s">
        <v>13</v>
      </c>
      <c r="E493">
        <v>21</v>
      </c>
      <c r="F493">
        <v>0</v>
      </c>
      <c r="G493">
        <v>0</v>
      </c>
      <c r="H493">
        <v>7.25</v>
      </c>
      <c r="I493" t="s">
        <v>14</v>
      </c>
      <c r="J493" t="str">
        <f t="shared" si="21"/>
        <v>Adult</v>
      </c>
      <c r="K493" t="str">
        <f t="shared" si="22"/>
        <v>Low</v>
      </c>
      <c r="L493">
        <f t="shared" si="23"/>
        <v>1</v>
      </c>
    </row>
    <row r="494" spans="1:12">
      <c r="A494">
        <v>0</v>
      </c>
      <c r="B494">
        <v>1</v>
      </c>
      <c r="C494" t="s">
        <v>513</v>
      </c>
      <c r="D494" t="s">
        <v>13</v>
      </c>
      <c r="E494">
        <v>55</v>
      </c>
      <c r="F494">
        <v>0</v>
      </c>
      <c r="G494">
        <v>0</v>
      </c>
      <c r="H494">
        <v>30.5</v>
      </c>
      <c r="I494" t="s">
        <v>14</v>
      </c>
      <c r="J494" t="str">
        <f t="shared" si="21"/>
        <v>Adult</v>
      </c>
      <c r="K494" t="str">
        <f t="shared" si="22"/>
        <v>Low</v>
      </c>
      <c r="L494">
        <f t="shared" si="23"/>
        <v>1</v>
      </c>
    </row>
    <row r="495" spans="1:12">
      <c r="A495">
        <v>0</v>
      </c>
      <c r="B495">
        <v>1</v>
      </c>
      <c r="C495" t="s">
        <v>514</v>
      </c>
      <c r="D495" t="s">
        <v>13</v>
      </c>
      <c r="E495">
        <v>71</v>
      </c>
      <c r="F495">
        <v>0</v>
      </c>
      <c r="G495">
        <v>0</v>
      </c>
      <c r="H495">
        <v>49.504199999999997</v>
      </c>
      <c r="I495" t="s">
        <v>18</v>
      </c>
      <c r="J495" t="str">
        <f t="shared" si="21"/>
        <v>Adult</v>
      </c>
      <c r="K495" t="str">
        <f t="shared" si="22"/>
        <v>Low</v>
      </c>
      <c r="L495">
        <f t="shared" si="23"/>
        <v>1</v>
      </c>
    </row>
    <row r="496" spans="1:12">
      <c r="A496">
        <v>0</v>
      </c>
      <c r="B496">
        <v>3</v>
      </c>
      <c r="C496" t="s">
        <v>515</v>
      </c>
      <c r="D496" t="s">
        <v>13</v>
      </c>
      <c r="E496">
        <v>21</v>
      </c>
      <c r="F496">
        <v>0</v>
      </c>
      <c r="G496">
        <v>0</v>
      </c>
      <c r="H496">
        <v>8.0500000000000007</v>
      </c>
      <c r="I496" t="s">
        <v>14</v>
      </c>
      <c r="J496" t="str">
        <f t="shared" si="21"/>
        <v>Adult</v>
      </c>
      <c r="K496" t="str">
        <f t="shared" si="22"/>
        <v>Low</v>
      </c>
      <c r="L496">
        <f t="shared" si="23"/>
        <v>1</v>
      </c>
    </row>
    <row r="497" spans="1:12">
      <c r="A497">
        <v>0</v>
      </c>
      <c r="B497">
        <v>3</v>
      </c>
      <c r="C497" t="s">
        <v>516</v>
      </c>
      <c r="D497" t="s">
        <v>13</v>
      </c>
      <c r="F497">
        <v>0</v>
      </c>
      <c r="G497">
        <v>0</v>
      </c>
      <c r="H497">
        <v>14.458299999999999</v>
      </c>
      <c r="I497" t="s">
        <v>18</v>
      </c>
      <c r="J497" t="str">
        <f t="shared" si="21"/>
        <v>Child</v>
      </c>
      <c r="K497" t="str">
        <f t="shared" si="22"/>
        <v>Low</v>
      </c>
      <c r="L497">
        <f t="shared" si="23"/>
        <v>1</v>
      </c>
    </row>
    <row r="498" spans="1:12">
      <c r="A498">
        <v>1</v>
      </c>
      <c r="B498">
        <v>1</v>
      </c>
      <c r="C498" t="s">
        <v>517</v>
      </c>
      <c r="D498" t="s">
        <v>17</v>
      </c>
      <c r="E498">
        <v>54</v>
      </c>
      <c r="F498">
        <v>1</v>
      </c>
      <c r="G498">
        <v>0</v>
      </c>
      <c r="H498">
        <v>78.2667</v>
      </c>
      <c r="I498" t="s">
        <v>18</v>
      </c>
      <c r="J498" t="str">
        <f t="shared" si="21"/>
        <v>Adult</v>
      </c>
      <c r="K498" t="str">
        <f t="shared" si="22"/>
        <v>High</v>
      </c>
      <c r="L498">
        <f t="shared" si="23"/>
        <v>2</v>
      </c>
    </row>
    <row r="499" spans="1:12">
      <c r="A499">
        <v>0</v>
      </c>
      <c r="B499">
        <v>3</v>
      </c>
      <c r="C499" t="s">
        <v>518</v>
      </c>
      <c r="D499" t="s">
        <v>13</v>
      </c>
      <c r="F499">
        <v>0</v>
      </c>
      <c r="G499">
        <v>0</v>
      </c>
      <c r="H499">
        <v>15.1</v>
      </c>
      <c r="I499" t="s">
        <v>14</v>
      </c>
      <c r="J499" t="str">
        <f t="shared" si="21"/>
        <v>Child</v>
      </c>
      <c r="K499" t="str">
        <f t="shared" si="22"/>
        <v>Low</v>
      </c>
      <c r="L499">
        <f t="shared" si="23"/>
        <v>1</v>
      </c>
    </row>
    <row r="500" spans="1:12">
      <c r="A500">
        <v>0</v>
      </c>
      <c r="B500">
        <v>1</v>
      </c>
      <c r="C500" t="s">
        <v>519</v>
      </c>
      <c r="D500" t="s">
        <v>17</v>
      </c>
      <c r="E500">
        <v>25</v>
      </c>
      <c r="F500">
        <v>1</v>
      </c>
      <c r="G500">
        <v>2</v>
      </c>
      <c r="H500">
        <v>151.55000000000001</v>
      </c>
      <c r="I500" t="s">
        <v>14</v>
      </c>
      <c r="J500" t="str">
        <f t="shared" si="21"/>
        <v>Adult</v>
      </c>
      <c r="K500" t="str">
        <f t="shared" si="22"/>
        <v>High</v>
      </c>
      <c r="L500">
        <f t="shared" si="23"/>
        <v>4</v>
      </c>
    </row>
    <row r="501" spans="1:12">
      <c r="A501">
        <v>0</v>
      </c>
      <c r="B501">
        <v>3</v>
      </c>
      <c r="C501" t="s">
        <v>520</v>
      </c>
      <c r="D501" t="s">
        <v>13</v>
      </c>
      <c r="E501">
        <v>24</v>
      </c>
      <c r="F501">
        <v>0</v>
      </c>
      <c r="G501">
        <v>0</v>
      </c>
      <c r="H501">
        <v>7.7957999999999998</v>
      </c>
      <c r="I501" t="s">
        <v>14</v>
      </c>
      <c r="J501" t="str">
        <f t="shared" si="21"/>
        <v>Adult</v>
      </c>
      <c r="K501" t="str">
        <f t="shared" si="22"/>
        <v>Low</v>
      </c>
      <c r="L501">
        <f t="shared" si="23"/>
        <v>1</v>
      </c>
    </row>
    <row r="502" spans="1:12">
      <c r="A502">
        <v>0</v>
      </c>
      <c r="B502">
        <v>3</v>
      </c>
      <c r="C502" t="s">
        <v>521</v>
      </c>
      <c r="D502" t="s">
        <v>13</v>
      </c>
      <c r="E502">
        <v>17</v>
      </c>
      <c r="F502">
        <v>0</v>
      </c>
      <c r="G502">
        <v>0</v>
      </c>
      <c r="H502">
        <v>8.6624999999999996</v>
      </c>
      <c r="I502" t="s">
        <v>14</v>
      </c>
      <c r="J502" t="str">
        <f t="shared" si="21"/>
        <v>Child</v>
      </c>
      <c r="K502" t="str">
        <f t="shared" si="22"/>
        <v>Low</v>
      </c>
      <c r="L502">
        <f t="shared" si="23"/>
        <v>1</v>
      </c>
    </row>
    <row r="503" spans="1:12">
      <c r="A503">
        <v>0</v>
      </c>
      <c r="B503">
        <v>3</v>
      </c>
      <c r="C503" t="s">
        <v>522</v>
      </c>
      <c r="D503" t="s">
        <v>17</v>
      </c>
      <c r="E503">
        <v>21</v>
      </c>
      <c r="F503">
        <v>0</v>
      </c>
      <c r="G503">
        <v>0</v>
      </c>
      <c r="H503">
        <v>7.75</v>
      </c>
      <c r="I503" t="s">
        <v>26</v>
      </c>
      <c r="J503" t="str">
        <f t="shared" si="21"/>
        <v>Adult</v>
      </c>
      <c r="K503" t="str">
        <f t="shared" si="22"/>
        <v>Low</v>
      </c>
      <c r="L503">
        <f t="shared" si="23"/>
        <v>1</v>
      </c>
    </row>
    <row r="504" spans="1:12">
      <c r="A504">
        <v>0</v>
      </c>
      <c r="B504">
        <v>3</v>
      </c>
      <c r="C504" t="s">
        <v>523</v>
      </c>
      <c r="D504" t="s">
        <v>17</v>
      </c>
      <c r="F504">
        <v>0</v>
      </c>
      <c r="G504">
        <v>0</v>
      </c>
      <c r="H504">
        <v>7.6292</v>
      </c>
      <c r="I504" t="s">
        <v>26</v>
      </c>
      <c r="J504" t="str">
        <f t="shared" si="21"/>
        <v>Child</v>
      </c>
      <c r="K504" t="str">
        <f t="shared" si="22"/>
        <v>Low</v>
      </c>
      <c r="L504">
        <f t="shared" si="23"/>
        <v>1</v>
      </c>
    </row>
    <row r="505" spans="1:12">
      <c r="A505">
        <v>0</v>
      </c>
      <c r="B505">
        <v>3</v>
      </c>
      <c r="C505" t="s">
        <v>524</v>
      </c>
      <c r="D505" t="s">
        <v>17</v>
      </c>
      <c r="E505">
        <v>37</v>
      </c>
      <c r="F505">
        <v>0</v>
      </c>
      <c r="G505">
        <v>0</v>
      </c>
      <c r="H505">
        <v>9.5875000000000004</v>
      </c>
      <c r="I505" t="s">
        <v>14</v>
      </c>
      <c r="J505" t="str">
        <f t="shared" si="21"/>
        <v>Adult</v>
      </c>
      <c r="K505" t="str">
        <f t="shared" si="22"/>
        <v>Low</v>
      </c>
      <c r="L505">
        <f t="shared" si="23"/>
        <v>1</v>
      </c>
    </row>
    <row r="506" spans="1:12">
      <c r="A506">
        <v>1</v>
      </c>
      <c r="B506">
        <v>1</v>
      </c>
      <c r="C506" t="s">
        <v>525</v>
      </c>
      <c r="D506" t="s">
        <v>17</v>
      </c>
      <c r="E506">
        <v>16</v>
      </c>
      <c r="F506">
        <v>0</v>
      </c>
      <c r="G506">
        <v>0</v>
      </c>
      <c r="H506">
        <v>86.5</v>
      </c>
      <c r="I506" t="s">
        <v>14</v>
      </c>
      <c r="J506" t="str">
        <f t="shared" si="21"/>
        <v>Child</v>
      </c>
      <c r="K506" t="str">
        <f t="shared" si="22"/>
        <v>High</v>
      </c>
      <c r="L506">
        <f t="shared" si="23"/>
        <v>1</v>
      </c>
    </row>
    <row r="507" spans="1:12">
      <c r="A507">
        <v>0</v>
      </c>
      <c r="B507">
        <v>1</v>
      </c>
      <c r="C507" t="s">
        <v>526</v>
      </c>
      <c r="D507" t="s">
        <v>13</v>
      </c>
      <c r="E507">
        <v>18</v>
      </c>
      <c r="F507">
        <v>1</v>
      </c>
      <c r="G507">
        <v>0</v>
      </c>
      <c r="H507">
        <v>108.9</v>
      </c>
      <c r="I507" t="s">
        <v>18</v>
      </c>
      <c r="J507" t="str">
        <f t="shared" si="21"/>
        <v>Adult</v>
      </c>
      <c r="K507" t="str">
        <f t="shared" si="22"/>
        <v>High</v>
      </c>
      <c r="L507">
        <f t="shared" si="23"/>
        <v>2</v>
      </c>
    </row>
    <row r="508" spans="1:12">
      <c r="A508">
        <v>1</v>
      </c>
      <c r="B508">
        <v>2</v>
      </c>
      <c r="C508" t="s">
        <v>527</v>
      </c>
      <c r="D508" t="s">
        <v>17</v>
      </c>
      <c r="E508">
        <v>33</v>
      </c>
      <c r="F508">
        <v>0</v>
      </c>
      <c r="G508">
        <v>2</v>
      </c>
      <c r="H508">
        <v>26</v>
      </c>
      <c r="I508" t="s">
        <v>14</v>
      </c>
      <c r="J508" t="str">
        <f t="shared" si="21"/>
        <v>Adult</v>
      </c>
      <c r="K508" t="str">
        <f t="shared" si="22"/>
        <v>Low</v>
      </c>
      <c r="L508">
        <f t="shared" si="23"/>
        <v>3</v>
      </c>
    </row>
    <row r="509" spans="1:12">
      <c r="A509">
        <v>1</v>
      </c>
      <c r="B509">
        <v>1</v>
      </c>
      <c r="C509" t="s">
        <v>528</v>
      </c>
      <c r="D509" t="s">
        <v>13</v>
      </c>
      <c r="F509">
        <v>0</v>
      </c>
      <c r="G509">
        <v>0</v>
      </c>
      <c r="H509">
        <v>26.55</v>
      </c>
      <c r="I509" t="s">
        <v>14</v>
      </c>
      <c r="J509" t="str">
        <f t="shared" si="21"/>
        <v>Child</v>
      </c>
      <c r="K509" t="str">
        <f t="shared" si="22"/>
        <v>Low</v>
      </c>
      <c r="L509">
        <f t="shared" si="23"/>
        <v>1</v>
      </c>
    </row>
    <row r="510" spans="1:12">
      <c r="A510">
        <v>0</v>
      </c>
      <c r="B510">
        <v>3</v>
      </c>
      <c r="C510" t="s">
        <v>529</v>
      </c>
      <c r="D510" t="s">
        <v>13</v>
      </c>
      <c r="E510">
        <v>28</v>
      </c>
      <c r="F510">
        <v>0</v>
      </c>
      <c r="G510">
        <v>0</v>
      </c>
      <c r="H510">
        <v>22.524999999999999</v>
      </c>
      <c r="I510" t="s">
        <v>14</v>
      </c>
      <c r="J510" t="str">
        <f t="shared" si="21"/>
        <v>Adult</v>
      </c>
      <c r="K510" t="str">
        <f t="shared" si="22"/>
        <v>Low</v>
      </c>
      <c r="L510">
        <f t="shared" si="23"/>
        <v>1</v>
      </c>
    </row>
    <row r="511" spans="1:12">
      <c r="A511">
        <v>1</v>
      </c>
      <c r="B511">
        <v>3</v>
      </c>
      <c r="C511" t="s">
        <v>530</v>
      </c>
      <c r="D511" t="s">
        <v>13</v>
      </c>
      <c r="E511">
        <v>26</v>
      </c>
      <c r="F511">
        <v>0</v>
      </c>
      <c r="G511">
        <v>0</v>
      </c>
      <c r="H511">
        <v>56.495800000000003</v>
      </c>
      <c r="I511" t="s">
        <v>14</v>
      </c>
      <c r="J511" t="str">
        <f t="shared" si="21"/>
        <v>Adult</v>
      </c>
      <c r="K511" t="str">
        <f t="shared" si="22"/>
        <v>High</v>
      </c>
      <c r="L511">
        <f t="shared" si="23"/>
        <v>1</v>
      </c>
    </row>
    <row r="512" spans="1:12">
      <c r="A512">
        <v>1</v>
      </c>
      <c r="B512">
        <v>3</v>
      </c>
      <c r="C512" t="s">
        <v>531</v>
      </c>
      <c r="D512" t="s">
        <v>13</v>
      </c>
      <c r="E512">
        <v>29</v>
      </c>
      <c r="F512">
        <v>0</v>
      </c>
      <c r="G512">
        <v>0</v>
      </c>
      <c r="H512">
        <v>7.75</v>
      </c>
      <c r="I512" t="s">
        <v>26</v>
      </c>
      <c r="J512" t="str">
        <f t="shared" si="21"/>
        <v>Adult</v>
      </c>
      <c r="K512" t="str">
        <f t="shared" si="22"/>
        <v>Low</v>
      </c>
      <c r="L512">
        <f t="shared" si="23"/>
        <v>1</v>
      </c>
    </row>
    <row r="513" spans="1:12">
      <c r="A513">
        <v>0</v>
      </c>
      <c r="B513">
        <v>3</v>
      </c>
      <c r="C513" t="s">
        <v>532</v>
      </c>
      <c r="D513" t="s">
        <v>13</v>
      </c>
      <c r="F513">
        <v>0</v>
      </c>
      <c r="G513">
        <v>0</v>
      </c>
      <c r="H513">
        <v>8.0500000000000007</v>
      </c>
      <c r="I513" t="s">
        <v>14</v>
      </c>
      <c r="J513" t="str">
        <f t="shared" si="21"/>
        <v>Child</v>
      </c>
      <c r="K513" t="str">
        <f t="shared" si="22"/>
        <v>Low</v>
      </c>
      <c r="L513">
        <f t="shared" si="23"/>
        <v>1</v>
      </c>
    </row>
    <row r="514" spans="1:12">
      <c r="A514">
        <v>1</v>
      </c>
      <c r="B514">
        <v>1</v>
      </c>
      <c r="C514" t="s">
        <v>533</v>
      </c>
      <c r="D514" t="s">
        <v>13</v>
      </c>
      <c r="E514">
        <v>36</v>
      </c>
      <c r="F514">
        <v>0</v>
      </c>
      <c r="G514">
        <v>0</v>
      </c>
      <c r="H514">
        <v>26.287500000000001</v>
      </c>
      <c r="I514" t="s">
        <v>14</v>
      </c>
      <c r="J514" t="str">
        <f t="shared" si="21"/>
        <v>Adult</v>
      </c>
      <c r="K514" t="str">
        <f t="shared" si="22"/>
        <v>Low</v>
      </c>
      <c r="L514">
        <f t="shared" si="23"/>
        <v>1</v>
      </c>
    </row>
    <row r="515" spans="1:12">
      <c r="A515">
        <v>1</v>
      </c>
      <c r="B515">
        <v>1</v>
      </c>
      <c r="C515" t="s">
        <v>534</v>
      </c>
      <c r="D515" t="s">
        <v>17</v>
      </c>
      <c r="E515">
        <v>54</v>
      </c>
      <c r="F515">
        <v>1</v>
      </c>
      <c r="G515">
        <v>0</v>
      </c>
      <c r="H515">
        <v>59.4</v>
      </c>
      <c r="I515" t="s">
        <v>18</v>
      </c>
      <c r="J515" t="str">
        <f t="shared" ref="J515:J578" si="24">IF(E515&lt;18,"Child","Adult")</f>
        <v>Adult</v>
      </c>
      <c r="K515" t="str">
        <f t="shared" ref="K515:K578" si="25">IF(H515&gt;50,"High","Low")</f>
        <v>High</v>
      </c>
      <c r="L515">
        <f t="shared" ref="L515:L578" si="26">F515+G515+1</f>
        <v>2</v>
      </c>
    </row>
    <row r="516" spans="1:12">
      <c r="A516">
        <v>0</v>
      </c>
      <c r="B516">
        <v>3</v>
      </c>
      <c r="C516" t="s">
        <v>535</v>
      </c>
      <c r="D516" t="s">
        <v>13</v>
      </c>
      <c r="E516">
        <v>24</v>
      </c>
      <c r="F516">
        <v>0</v>
      </c>
      <c r="G516">
        <v>0</v>
      </c>
      <c r="H516">
        <v>7.4958</v>
      </c>
      <c r="I516" t="s">
        <v>14</v>
      </c>
      <c r="J516" t="str">
        <f t="shared" si="24"/>
        <v>Adult</v>
      </c>
      <c r="K516" t="str">
        <f t="shared" si="25"/>
        <v>Low</v>
      </c>
      <c r="L516">
        <f t="shared" si="26"/>
        <v>1</v>
      </c>
    </row>
    <row r="517" spans="1:12">
      <c r="A517">
        <v>0</v>
      </c>
      <c r="B517">
        <v>1</v>
      </c>
      <c r="C517" t="s">
        <v>536</v>
      </c>
      <c r="D517" t="s">
        <v>13</v>
      </c>
      <c r="E517">
        <v>47</v>
      </c>
      <c r="F517">
        <v>0</v>
      </c>
      <c r="G517">
        <v>0</v>
      </c>
      <c r="H517">
        <v>34.020800000000001</v>
      </c>
      <c r="I517" t="s">
        <v>14</v>
      </c>
      <c r="J517" t="str">
        <f t="shared" si="24"/>
        <v>Adult</v>
      </c>
      <c r="K517" t="str">
        <f t="shared" si="25"/>
        <v>Low</v>
      </c>
      <c r="L517">
        <f t="shared" si="26"/>
        <v>1</v>
      </c>
    </row>
    <row r="518" spans="1:12">
      <c r="A518">
        <v>1</v>
      </c>
      <c r="B518">
        <v>2</v>
      </c>
      <c r="C518" t="s">
        <v>537</v>
      </c>
      <c r="D518" t="s">
        <v>17</v>
      </c>
      <c r="E518">
        <v>34</v>
      </c>
      <c r="F518">
        <v>0</v>
      </c>
      <c r="G518">
        <v>0</v>
      </c>
      <c r="H518">
        <v>10.5</v>
      </c>
      <c r="I518" t="s">
        <v>14</v>
      </c>
      <c r="J518" t="str">
        <f t="shared" si="24"/>
        <v>Adult</v>
      </c>
      <c r="K518" t="str">
        <f t="shared" si="25"/>
        <v>Low</v>
      </c>
      <c r="L518">
        <f t="shared" si="26"/>
        <v>1</v>
      </c>
    </row>
    <row r="519" spans="1:12">
      <c r="A519">
        <v>0</v>
      </c>
      <c r="B519">
        <v>3</v>
      </c>
      <c r="C519" t="s">
        <v>538</v>
      </c>
      <c r="D519" t="s">
        <v>13</v>
      </c>
      <c r="F519">
        <v>0</v>
      </c>
      <c r="G519">
        <v>0</v>
      </c>
      <c r="H519">
        <v>24.15</v>
      </c>
      <c r="I519" t="s">
        <v>26</v>
      </c>
      <c r="J519" t="str">
        <f t="shared" si="24"/>
        <v>Child</v>
      </c>
      <c r="K519" t="str">
        <f t="shared" si="25"/>
        <v>Low</v>
      </c>
      <c r="L519">
        <f t="shared" si="26"/>
        <v>1</v>
      </c>
    </row>
    <row r="520" spans="1:12">
      <c r="A520">
        <v>1</v>
      </c>
      <c r="B520">
        <v>2</v>
      </c>
      <c r="C520" t="s">
        <v>539</v>
      </c>
      <c r="D520" t="s">
        <v>17</v>
      </c>
      <c r="E520">
        <v>36</v>
      </c>
      <c r="F520">
        <v>1</v>
      </c>
      <c r="G520">
        <v>0</v>
      </c>
      <c r="H520">
        <v>26</v>
      </c>
      <c r="I520" t="s">
        <v>14</v>
      </c>
      <c r="J520" t="str">
        <f t="shared" si="24"/>
        <v>Adult</v>
      </c>
      <c r="K520" t="str">
        <f t="shared" si="25"/>
        <v>Low</v>
      </c>
      <c r="L520">
        <f t="shared" si="26"/>
        <v>2</v>
      </c>
    </row>
    <row r="521" spans="1:12">
      <c r="A521">
        <v>0</v>
      </c>
      <c r="B521">
        <v>3</v>
      </c>
      <c r="C521" t="s">
        <v>540</v>
      </c>
      <c r="D521" t="s">
        <v>13</v>
      </c>
      <c r="E521">
        <v>32</v>
      </c>
      <c r="F521">
        <v>0</v>
      </c>
      <c r="G521">
        <v>0</v>
      </c>
      <c r="H521">
        <v>7.8958000000000004</v>
      </c>
      <c r="I521" t="s">
        <v>14</v>
      </c>
      <c r="J521" t="str">
        <f t="shared" si="24"/>
        <v>Adult</v>
      </c>
      <c r="K521" t="str">
        <f t="shared" si="25"/>
        <v>Low</v>
      </c>
      <c r="L521">
        <f t="shared" si="26"/>
        <v>1</v>
      </c>
    </row>
    <row r="522" spans="1:12">
      <c r="A522">
        <v>1</v>
      </c>
      <c r="B522">
        <v>1</v>
      </c>
      <c r="C522" t="s">
        <v>541</v>
      </c>
      <c r="D522" t="s">
        <v>17</v>
      </c>
      <c r="E522">
        <v>30</v>
      </c>
      <c r="F522">
        <v>0</v>
      </c>
      <c r="G522">
        <v>0</v>
      </c>
      <c r="H522">
        <v>93.5</v>
      </c>
      <c r="I522" t="s">
        <v>14</v>
      </c>
      <c r="J522" t="str">
        <f t="shared" si="24"/>
        <v>Adult</v>
      </c>
      <c r="K522" t="str">
        <f t="shared" si="25"/>
        <v>High</v>
      </c>
      <c r="L522">
        <f t="shared" si="26"/>
        <v>1</v>
      </c>
    </row>
    <row r="523" spans="1:12">
      <c r="A523">
        <v>0</v>
      </c>
      <c r="B523">
        <v>3</v>
      </c>
      <c r="C523" t="s">
        <v>542</v>
      </c>
      <c r="D523" t="s">
        <v>13</v>
      </c>
      <c r="E523">
        <v>22</v>
      </c>
      <c r="F523">
        <v>0</v>
      </c>
      <c r="G523">
        <v>0</v>
      </c>
      <c r="H523">
        <v>7.8958000000000004</v>
      </c>
      <c r="I523" t="s">
        <v>14</v>
      </c>
      <c r="J523" t="str">
        <f t="shared" si="24"/>
        <v>Adult</v>
      </c>
      <c r="K523" t="str">
        <f t="shared" si="25"/>
        <v>Low</v>
      </c>
      <c r="L523">
        <f t="shared" si="26"/>
        <v>1</v>
      </c>
    </row>
    <row r="524" spans="1:12">
      <c r="A524">
        <v>0</v>
      </c>
      <c r="B524">
        <v>3</v>
      </c>
      <c r="C524" t="s">
        <v>543</v>
      </c>
      <c r="D524" t="s">
        <v>13</v>
      </c>
      <c r="F524">
        <v>0</v>
      </c>
      <c r="G524">
        <v>0</v>
      </c>
      <c r="H524">
        <v>7.2249999999999996</v>
      </c>
      <c r="I524" t="s">
        <v>18</v>
      </c>
      <c r="J524" t="str">
        <f t="shared" si="24"/>
        <v>Child</v>
      </c>
      <c r="K524" t="str">
        <f t="shared" si="25"/>
        <v>Low</v>
      </c>
      <c r="L524">
        <f t="shared" si="26"/>
        <v>1</v>
      </c>
    </row>
    <row r="525" spans="1:12">
      <c r="A525">
        <v>1</v>
      </c>
      <c r="B525">
        <v>1</v>
      </c>
      <c r="C525" t="s">
        <v>544</v>
      </c>
      <c r="D525" t="s">
        <v>17</v>
      </c>
      <c r="E525">
        <v>44</v>
      </c>
      <c r="F525">
        <v>0</v>
      </c>
      <c r="G525">
        <v>1</v>
      </c>
      <c r="H525">
        <v>57.979199999999999</v>
      </c>
      <c r="I525" t="s">
        <v>18</v>
      </c>
      <c r="J525" t="str">
        <f t="shared" si="24"/>
        <v>Adult</v>
      </c>
      <c r="K525" t="str">
        <f t="shared" si="25"/>
        <v>High</v>
      </c>
      <c r="L525">
        <f t="shared" si="26"/>
        <v>2</v>
      </c>
    </row>
    <row r="526" spans="1:12">
      <c r="A526">
        <v>0</v>
      </c>
      <c r="B526">
        <v>3</v>
      </c>
      <c r="C526" t="s">
        <v>545</v>
      </c>
      <c r="D526" t="s">
        <v>13</v>
      </c>
      <c r="F526">
        <v>0</v>
      </c>
      <c r="G526">
        <v>0</v>
      </c>
      <c r="H526">
        <v>7.2291999999999996</v>
      </c>
      <c r="I526" t="s">
        <v>18</v>
      </c>
      <c r="J526" t="str">
        <f t="shared" si="24"/>
        <v>Child</v>
      </c>
      <c r="K526" t="str">
        <f t="shared" si="25"/>
        <v>Low</v>
      </c>
      <c r="L526">
        <f t="shared" si="26"/>
        <v>1</v>
      </c>
    </row>
    <row r="527" spans="1:12">
      <c r="A527">
        <v>0</v>
      </c>
      <c r="B527">
        <v>3</v>
      </c>
      <c r="C527" t="s">
        <v>546</v>
      </c>
      <c r="D527" t="s">
        <v>13</v>
      </c>
      <c r="E527">
        <v>40.5</v>
      </c>
      <c r="F527">
        <v>0</v>
      </c>
      <c r="G527">
        <v>0</v>
      </c>
      <c r="H527">
        <v>7.75</v>
      </c>
      <c r="I527" t="s">
        <v>26</v>
      </c>
      <c r="J527" t="str">
        <f t="shared" si="24"/>
        <v>Adult</v>
      </c>
      <c r="K527" t="str">
        <f t="shared" si="25"/>
        <v>Low</v>
      </c>
      <c r="L527">
        <f t="shared" si="26"/>
        <v>1</v>
      </c>
    </row>
    <row r="528" spans="1:12">
      <c r="A528">
        <v>1</v>
      </c>
      <c r="B528">
        <v>2</v>
      </c>
      <c r="C528" t="s">
        <v>547</v>
      </c>
      <c r="D528" t="s">
        <v>17</v>
      </c>
      <c r="E528">
        <v>50</v>
      </c>
      <c r="F528">
        <v>0</v>
      </c>
      <c r="G528">
        <v>0</v>
      </c>
      <c r="H528">
        <v>10.5</v>
      </c>
      <c r="I528" t="s">
        <v>14</v>
      </c>
      <c r="J528" t="str">
        <f t="shared" si="24"/>
        <v>Adult</v>
      </c>
      <c r="K528" t="str">
        <f t="shared" si="25"/>
        <v>Low</v>
      </c>
      <c r="L528">
        <f t="shared" si="26"/>
        <v>1</v>
      </c>
    </row>
    <row r="529" spans="1:12">
      <c r="A529">
        <v>0</v>
      </c>
      <c r="B529">
        <v>1</v>
      </c>
      <c r="C529" t="s">
        <v>548</v>
      </c>
      <c r="D529" t="s">
        <v>13</v>
      </c>
      <c r="F529">
        <v>0</v>
      </c>
      <c r="G529">
        <v>0</v>
      </c>
      <c r="H529">
        <v>221.7792</v>
      </c>
      <c r="I529" t="s">
        <v>14</v>
      </c>
      <c r="J529" t="str">
        <f t="shared" si="24"/>
        <v>Child</v>
      </c>
      <c r="K529" t="str">
        <f t="shared" si="25"/>
        <v>High</v>
      </c>
      <c r="L529">
        <f t="shared" si="26"/>
        <v>1</v>
      </c>
    </row>
    <row r="530" spans="1:12">
      <c r="A530">
        <v>0</v>
      </c>
      <c r="B530">
        <v>3</v>
      </c>
      <c r="C530" t="s">
        <v>549</v>
      </c>
      <c r="D530" t="s">
        <v>13</v>
      </c>
      <c r="E530">
        <v>39</v>
      </c>
      <c r="F530">
        <v>0</v>
      </c>
      <c r="G530">
        <v>0</v>
      </c>
      <c r="H530">
        <v>7.9249999999999998</v>
      </c>
      <c r="I530" t="s">
        <v>14</v>
      </c>
      <c r="J530" t="str">
        <f t="shared" si="24"/>
        <v>Adult</v>
      </c>
      <c r="K530" t="str">
        <f t="shared" si="25"/>
        <v>Low</v>
      </c>
      <c r="L530">
        <f t="shared" si="26"/>
        <v>1</v>
      </c>
    </row>
    <row r="531" spans="1:12">
      <c r="A531">
        <v>0</v>
      </c>
      <c r="B531">
        <v>2</v>
      </c>
      <c r="C531" t="s">
        <v>550</v>
      </c>
      <c r="D531" t="s">
        <v>13</v>
      </c>
      <c r="E531">
        <v>23</v>
      </c>
      <c r="F531">
        <v>2</v>
      </c>
      <c r="G531">
        <v>1</v>
      </c>
      <c r="H531">
        <v>11.5</v>
      </c>
      <c r="I531" t="s">
        <v>14</v>
      </c>
      <c r="J531" t="str">
        <f t="shared" si="24"/>
        <v>Adult</v>
      </c>
      <c r="K531" t="str">
        <f t="shared" si="25"/>
        <v>Low</v>
      </c>
      <c r="L531">
        <f t="shared" si="26"/>
        <v>4</v>
      </c>
    </row>
    <row r="532" spans="1:12">
      <c r="A532">
        <v>1</v>
      </c>
      <c r="B532">
        <v>2</v>
      </c>
      <c r="C532" t="s">
        <v>551</v>
      </c>
      <c r="D532" t="s">
        <v>17</v>
      </c>
      <c r="E532">
        <v>2</v>
      </c>
      <c r="F532">
        <v>1</v>
      </c>
      <c r="G532">
        <v>1</v>
      </c>
      <c r="H532">
        <v>26</v>
      </c>
      <c r="I532" t="s">
        <v>14</v>
      </c>
      <c r="J532" t="str">
        <f t="shared" si="24"/>
        <v>Child</v>
      </c>
      <c r="K532" t="str">
        <f t="shared" si="25"/>
        <v>Low</v>
      </c>
      <c r="L532">
        <f t="shared" si="26"/>
        <v>3</v>
      </c>
    </row>
    <row r="533" spans="1:12">
      <c r="A533">
        <v>0</v>
      </c>
      <c r="B533">
        <v>3</v>
      </c>
      <c r="C533" t="s">
        <v>552</v>
      </c>
      <c r="D533" t="s">
        <v>13</v>
      </c>
      <c r="F533">
        <v>0</v>
      </c>
      <c r="G533">
        <v>0</v>
      </c>
      <c r="H533">
        <v>7.2291999999999996</v>
      </c>
      <c r="I533" t="s">
        <v>18</v>
      </c>
      <c r="J533" t="str">
        <f t="shared" si="24"/>
        <v>Child</v>
      </c>
      <c r="K533" t="str">
        <f t="shared" si="25"/>
        <v>Low</v>
      </c>
      <c r="L533">
        <f t="shared" si="26"/>
        <v>1</v>
      </c>
    </row>
    <row r="534" spans="1:12">
      <c r="A534">
        <v>0</v>
      </c>
      <c r="B534">
        <v>3</v>
      </c>
      <c r="C534" t="s">
        <v>553</v>
      </c>
      <c r="D534" t="s">
        <v>13</v>
      </c>
      <c r="E534">
        <v>17</v>
      </c>
      <c r="F534">
        <v>1</v>
      </c>
      <c r="G534">
        <v>1</v>
      </c>
      <c r="H534">
        <v>7.2291999999999996</v>
      </c>
      <c r="I534" t="s">
        <v>18</v>
      </c>
      <c r="J534" t="str">
        <f t="shared" si="24"/>
        <v>Child</v>
      </c>
      <c r="K534" t="str">
        <f t="shared" si="25"/>
        <v>Low</v>
      </c>
      <c r="L534">
        <f t="shared" si="26"/>
        <v>3</v>
      </c>
    </row>
    <row r="535" spans="1:12">
      <c r="A535">
        <v>1</v>
      </c>
      <c r="B535">
        <v>3</v>
      </c>
      <c r="C535" t="s">
        <v>554</v>
      </c>
      <c r="D535" t="s">
        <v>17</v>
      </c>
      <c r="F535">
        <v>0</v>
      </c>
      <c r="G535">
        <v>2</v>
      </c>
      <c r="H535">
        <v>22.3583</v>
      </c>
      <c r="I535" t="s">
        <v>18</v>
      </c>
      <c r="J535" t="str">
        <f t="shared" si="24"/>
        <v>Child</v>
      </c>
      <c r="K535" t="str">
        <f t="shared" si="25"/>
        <v>Low</v>
      </c>
      <c r="L535">
        <f t="shared" si="26"/>
        <v>3</v>
      </c>
    </row>
    <row r="536" spans="1:12">
      <c r="A536">
        <v>0</v>
      </c>
      <c r="B536">
        <v>3</v>
      </c>
      <c r="C536" t="s">
        <v>555</v>
      </c>
      <c r="D536" t="s">
        <v>17</v>
      </c>
      <c r="E536">
        <v>30</v>
      </c>
      <c r="F536">
        <v>0</v>
      </c>
      <c r="G536">
        <v>0</v>
      </c>
      <c r="H536">
        <v>8.6624999999999996</v>
      </c>
      <c r="I536" t="s">
        <v>14</v>
      </c>
      <c r="J536" t="str">
        <f t="shared" si="24"/>
        <v>Adult</v>
      </c>
      <c r="K536" t="str">
        <f t="shared" si="25"/>
        <v>Low</v>
      </c>
      <c r="L536">
        <f t="shared" si="26"/>
        <v>1</v>
      </c>
    </row>
    <row r="537" spans="1:12">
      <c r="A537">
        <v>1</v>
      </c>
      <c r="B537">
        <v>2</v>
      </c>
      <c r="C537" t="s">
        <v>556</v>
      </c>
      <c r="D537" t="s">
        <v>17</v>
      </c>
      <c r="E537">
        <v>7</v>
      </c>
      <c r="F537">
        <v>0</v>
      </c>
      <c r="G537">
        <v>2</v>
      </c>
      <c r="H537">
        <v>26.25</v>
      </c>
      <c r="I537" t="s">
        <v>14</v>
      </c>
      <c r="J537" t="str">
        <f t="shared" si="24"/>
        <v>Child</v>
      </c>
      <c r="K537" t="str">
        <f t="shared" si="25"/>
        <v>Low</v>
      </c>
      <c r="L537">
        <f t="shared" si="26"/>
        <v>3</v>
      </c>
    </row>
    <row r="538" spans="1:12">
      <c r="A538">
        <v>0</v>
      </c>
      <c r="B538">
        <v>1</v>
      </c>
      <c r="C538" t="s">
        <v>557</v>
      </c>
      <c r="D538" t="s">
        <v>13</v>
      </c>
      <c r="E538">
        <v>45</v>
      </c>
      <c r="F538">
        <v>0</v>
      </c>
      <c r="G538">
        <v>0</v>
      </c>
      <c r="H538">
        <v>26.55</v>
      </c>
      <c r="I538" t="s">
        <v>14</v>
      </c>
      <c r="J538" t="str">
        <f t="shared" si="24"/>
        <v>Adult</v>
      </c>
      <c r="K538" t="str">
        <f t="shared" si="25"/>
        <v>Low</v>
      </c>
      <c r="L538">
        <f t="shared" si="26"/>
        <v>1</v>
      </c>
    </row>
    <row r="539" spans="1:12">
      <c r="A539">
        <v>1</v>
      </c>
      <c r="B539">
        <v>1</v>
      </c>
      <c r="C539" t="s">
        <v>558</v>
      </c>
      <c r="D539" t="s">
        <v>17</v>
      </c>
      <c r="E539">
        <v>30</v>
      </c>
      <c r="F539">
        <v>0</v>
      </c>
      <c r="G539">
        <v>0</v>
      </c>
      <c r="H539">
        <v>106.425</v>
      </c>
      <c r="I539" t="s">
        <v>18</v>
      </c>
      <c r="J539" t="str">
        <f t="shared" si="24"/>
        <v>Adult</v>
      </c>
      <c r="K539" t="str">
        <f t="shared" si="25"/>
        <v>High</v>
      </c>
      <c r="L539">
        <f t="shared" si="26"/>
        <v>1</v>
      </c>
    </row>
    <row r="540" spans="1:12">
      <c r="A540">
        <v>0</v>
      </c>
      <c r="B540">
        <v>3</v>
      </c>
      <c r="C540" t="s">
        <v>559</v>
      </c>
      <c r="D540" t="s">
        <v>13</v>
      </c>
      <c r="F540">
        <v>0</v>
      </c>
      <c r="G540">
        <v>0</v>
      </c>
      <c r="H540">
        <v>14.5</v>
      </c>
      <c r="I540" t="s">
        <v>14</v>
      </c>
      <c r="J540" t="str">
        <f t="shared" si="24"/>
        <v>Child</v>
      </c>
      <c r="K540" t="str">
        <f t="shared" si="25"/>
        <v>Low</v>
      </c>
      <c r="L540">
        <f t="shared" si="26"/>
        <v>1</v>
      </c>
    </row>
    <row r="541" spans="1:12">
      <c r="A541">
        <v>1</v>
      </c>
      <c r="B541">
        <v>1</v>
      </c>
      <c r="C541" t="s">
        <v>560</v>
      </c>
      <c r="D541" t="s">
        <v>17</v>
      </c>
      <c r="E541">
        <v>22</v>
      </c>
      <c r="F541">
        <v>0</v>
      </c>
      <c r="G541">
        <v>2</v>
      </c>
      <c r="H541">
        <v>49.5</v>
      </c>
      <c r="I541" t="s">
        <v>18</v>
      </c>
      <c r="J541" t="str">
        <f t="shared" si="24"/>
        <v>Adult</v>
      </c>
      <c r="K541" t="str">
        <f t="shared" si="25"/>
        <v>Low</v>
      </c>
      <c r="L541">
        <f t="shared" si="26"/>
        <v>3</v>
      </c>
    </row>
    <row r="542" spans="1:12">
      <c r="A542">
        <v>1</v>
      </c>
      <c r="B542">
        <v>1</v>
      </c>
      <c r="C542" t="s">
        <v>561</v>
      </c>
      <c r="D542" t="s">
        <v>17</v>
      </c>
      <c r="E542">
        <v>36</v>
      </c>
      <c r="F542">
        <v>0</v>
      </c>
      <c r="G542">
        <v>2</v>
      </c>
      <c r="H542">
        <v>71</v>
      </c>
      <c r="I542" t="s">
        <v>14</v>
      </c>
      <c r="J542" t="str">
        <f t="shared" si="24"/>
        <v>Adult</v>
      </c>
      <c r="K542" t="str">
        <f t="shared" si="25"/>
        <v>High</v>
      </c>
      <c r="L542">
        <f t="shared" si="26"/>
        <v>3</v>
      </c>
    </row>
    <row r="543" spans="1:12">
      <c r="A543">
        <v>0</v>
      </c>
      <c r="B543">
        <v>3</v>
      </c>
      <c r="C543" t="s">
        <v>562</v>
      </c>
      <c r="D543" t="s">
        <v>17</v>
      </c>
      <c r="E543">
        <v>9</v>
      </c>
      <c r="F543">
        <v>4</v>
      </c>
      <c r="G543">
        <v>2</v>
      </c>
      <c r="H543">
        <v>31.274999999999999</v>
      </c>
      <c r="I543" t="s">
        <v>14</v>
      </c>
      <c r="J543" t="str">
        <f t="shared" si="24"/>
        <v>Child</v>
      </c>
      <c r="K543" t="str">
        <f t="shared" si="25"/>
        <v>Low</v>
      </c>
      <c r="L543">
        <f t="shared" si="26"/>
        <v>7</v>
      </c>
    </row>
    <row r="544" spans="1:12">
      <c r="A544">
        <v>0</v>
      </c>
      <c r="B544">
        <v>3</v>
      </c>
      <c r="C544" t="s">
        <v>563</v>
      </c>
      <c r="D544" t="s">
        <v>17</v>
      </c>
      <c r="E544">
        <v>11</v>
      </c>
      <c r="F544">
        <v>4</v>
      </c>
      <c r="G544">
        <v>2</v>
      </c>
      <c r="H544">
        <v>31.274999999999999</v>
      </c>
      <c r="I544" t="s">
        <v>14</v>
      </c>
      <c r="J544" t="str">
        <f t="shared" si="24"/>
        <v>Child</v>
      </c>
      <c r="K544" t="str">
        <f t="shared" si="25"/>
        <v>Low</v>
      </c>
      <c r="L544">
        <f t="shared" si="26"/>
        <v>7</v>
      </c>
    </row>
    <row r="545" spans="1:12">
      <c r="A545">
        <v>1</v>
      </c>
      <c r="B545">
        <v>2</v>
      </c>
      <c r="C545" t="s">
        <v>564</v>
      </c>
      <c r="D545" t="s">
        <v>13</v>
      </c>
      <c r="E545">
        <v>32</v>
      </c>
      <c r="F545">
        <v>1</v>
      </c>
      <c r="G545">
        <v>0</v>
      </c>
      <c r="H545">
        <v>26</v>
      </c>
      <c r="I545" t="s">
        <v>14</v>
      </c>
      <c r="J545" t="str">
        <f t="shared" si="24"/>
        <v>Adult</v>
      </c>
      <c r="K545" t="str">
        <f t="shared" si="25"/>
        <v>Low</v>
      </c>
      <c r="L545">
        <f t="shared" si="26"/>
        <v>2</v>
      </c>
    </row>
    <row r="546" spans="1:12">
      <c r="A546">
        <v>0</v>
      </c>
      <c r="B546">
        <v>1</v>
      </c>
      <c r="C546" t="s">
        <v>565</v>
      </c>
      <c r="D546" t="s">
        <v>13</v>
      </c>
      <c r="E546">
        <v>50</v>
      </c>
      <c r="F546">
        <v>1</v>
      </c>
      <c r="G546">
        <v>0</v>
      </c>
      <c r="H546">
        <v>106.425</v>
      </c>
      <c r="I546" t="s">
        <v>18</v>
      </c>
      <c r="J546" t="str">
        <f t="shared" si="24"/>
        <v>Adult</v>
      </c>
      <c r="K546" t="str">
        <f t="shared" si="25"/>
        <v>High</v>
      </c>
      <c r="L546">
        <f t="shared" si="26"/>
        <v>2</v>
      </c>
    </row>
    <row r="547" spans="1:12">
      <c r="A547">
        <v>0</v>
      </c>
      <c r="B547">
        <v>1</v>
      </c>
      <c r="C547" t="s">
        <v>566</v>
      </c>
      <c r="D547" t="s">
        <v>13</v>
      </c>
      <c r="E547">
        <v>64</v>
      </c>
      <c r="F547">
        <v>0</v>
      </c>
      <c r="G547">
        <v>0</v>
      </c>
      <c r="H547">
        <v>26</v>
      </c>
      <c r="I547" t="s">
        <v>14</v>
      </c>
      <c r="J547" t="str">
        <f t="shared" si="24"/>
        <v>Adult</v>
      </c>
      <c r="K547" t="str">
        <f t="shared" si="25"/>
        <v>Low</v>
      </c>
      <c r="L547">
        <f t="shared" si="26"/>
        <v>1</v>
      </c>
    </row>
    <row r="548" spans="1:12">
      <c r="A548">
        <v>1</v>
      </c>
      <c r="B548">
        <v>2</v>
      </c>
      <c r="C548" t="s">
        <v>567</v>
      </c>
      <c r="D548" t="s">
        <v>17</v>
      </c>
      <c r="E548">
        <v>19</v>
      </c>
      <c r="F548">
        <v>1</v>
      </c>
      <c r="G548">
        <v>0</v>
      </c>
      <c r="H548">
        <v>26</v>
      </c>
      <c r="I548" t="s">
        <v>14</v>
      </c>
      <c r="J548" t="str">
        <f t="shared" si="24"/>
        <v>Adult</v>
      </c>
      <c r="K548" t="str">
        <f t="shared" si="25"/>
        <v>Low</v>
      </c>
      <c r="L548">
        <f t="shared" si="26"/>
        <v>2</v>
      </c>
    </row>
    <row r="549" spans="1:12">
      <c r="A549">
        <v>1</v>
      </c>
      <c r="B549">
        <v>2</v>
      </c>
      <c r="C549" t="s">
        <v>568</v>
      </c>
      <c r="D549" t="s">
        <v>13</v>
      </c>
      <c r="F549">
        <v>0</v>
      </c>
      <c r="G549">
        <v>0</v>
      </c>
      <c r="H549">
        <v>13.862500000000001</v>
      </c>
      <c r="I549" t="s">
        <v>18</v>
      </c>
      <c r="J549" t="str">
        <f t="shared" si="24"/>
        <v>Child</v>
      </c>
      <c r="K549" t="str">
        <f t="shared" si="25"/>
        <v>Low</v>
      </c>
      <c r="L549">
        <f t="shared" si="26"/>
        <v>1</v>
      </c>
    </row>
    <row r="550" spans="1:12">
      <c r="A550">
        <v>0</v>
      </c>
      <c r="B550">
        <v>3</v>
      </c>
      <c r="C550" t="s">
        <v>569</v>
      </c>
      <c r="D550" t="s">
        <v>13</v>
      </c>
      <c r="E550">
        <v>33</v>
      </c>
      <c r="F550">
        <v>1</v>
      </c>
      <c r="G550">
        <v>1</v>
      </c>
      <c r="H550">
        <v>20.524999999999999</v>
      </c>
      <c r="I550" t="s">
        <v>14</v>
      </c>
      <c r="J550" t="str">
        <f t="shared" si="24"/>
        <v>Adult</v>
      </c>
      <c r="K550" t="str">
        <f t="shared" si="25"/>
        <v>Low</v>
      </c>
      <c r="L550">
        <f t="shared" si="26"/>
        <v>3</v>
      </c>
    </row>
    <row r="551" spans="1:12">
      <c r="A551">
        <v>1</v>
      </c>
      <c r="B551">
        <v>2</v>
      </c>
      <c r="C551" t="s">
        <v>570</v>
      </c>
      <c r="D551" t="s">
        <v>13</v>
      </c>
      <c r="E551">
        <v>8</v>
      </c>
      <c r="F551">
        <v>1</v>
      </c>
      <c r="G551">
        <v>1</v>
      </c>
      <c r="H551">
        <v>36.75</v>
      </c>
      <c r="I551" t="s">
        <v>14</v>
      </c>
      <c r="J551" t="str">
        <f t="shared" si="24"/>
        <v>Child</v>
      </c>
      <c r="K551" t="str">
        <f t="shared" si="25"/>
        <v>Low</v>
      </c>
      <c r="L551">
        <f t="shared" si="26"/>
        <v>3</v>
      </c>
    </row>
    <row r="552" spans="1:12">
      <c r="A552">
        <v>1</v>
      </c>
      <c r="B552">
        <v>1</v>
      </c>
      <c r="C552" t="s">
        <v>571</v>
      </c>
      <c r="D552" t="s">
        <v>13</v>
      </c>
      <c r="E552">
        <v>17</v>
      </c>
      <c r="F552">
        <v>0</v>
      </c>
      <c r="G552">
        <v>2</v>
      </c>
      <c r="H552">
        <v>110.88330000000001</v>
      </c>
      <c r="I552" t="s">
        <v>18</v>
      </c>
      <c r="J552" t="str">
        <f t="shared" si="24"/>
        <v>Child</v>
      </c>
      <c r="K552" t="str">
        <f t="shared" si="25"/>
        <v>High</v>
      </c>
      <c r="L552">
        <f t="shared" si="26"/>
        <v>3</v>
      </c>
    </row>
    <row r="553" spans="1:12">
      <c r="A553">
        <v>0</v>
      </c>
      <c r="B553">
        <v>2</v>
      </c>
      <c r="C553" t="s">
        <v>572</v>
      </c>
      <c r="D553" t="s">
        <v>13</v>
      </c>
      <c r="E553">
        <v>27</v>
      </c>
      <c r="F553">
        <v>0</v>
      </c>
      <c r="G553">
        <v>0</v>
      </c>
      <c r="H553">
        <v>26</v>
      </c>
      <c r="I553" t="s">
        <v>14</v>
      </c>
      <c r="J553" t="str">
        <f t="shared" si="24"/>
        <v>Adult</v>
      </c>
      <c r="K553" t="str">
        <f t="shared" si="25"/>
        <v>Low</v>
      </c>
      <c r="L553">
        <f t="shared" si="26"/>
        <v>1</v>
      </c>
    </row>
    <row r="554" spans="1:12">
      <c r="A554">
        <v>0</v>
      </c>
      <c r="B554">
        <v>3</v>
      </c>
      <c r="C554" t="s">
        <v>573</v>
      </c>
      <c r="D554" t="s">
        <v>13</v>
      </c>
      <c r="F554">
        <v>0</v>
      </c>
      <c r="G554">
        <v>0</v>
      </c>
      <c r="H554">
        <v>7.8292000000000002</v>
      </c>
      <c r="I554" t="s">
        <v>26</v>
      </c>
      <c r="J554" t="str">
        <f t="shared" si="24"/>
        <v>Child</v>
      </c>
      <c r="K554" t="str">
        <f t="shared" si="25"/>
        <v>Low</v>
      </c>
      <c r="L554">
        <f t="shared" si="26"/>
        <v>1</v>
      </c>
    </row>
    <row r="555" spans="1:12">
      <c r="A555">
        <v>1</v>
      </c>
      <c r="B555">
        <v>3</v>
      </c>
      <c r="C555" t="s">
        <v>574</v>
      </c>
      <c r="D555" t="s">
        <v>13</v>
      </c>
      <c r="E555">
        <v>22</v>
      </c>
      <c r="F555">
        <v>0</v>
      </c>
      <c r="G555">
        <v>0</v>
      </c>
      <c r="H555">
        <v>7.2249999999999996</v>
      </c>
      <c r="I555" t="s">
        <v>18</v>
      </c>
      <c r="J555" t="str">
        <f t="shared" si="24"/>
        <v>Adult</v>
      </c>
      <c r="K555" t="str">
        <f t="shared" si="25"/>
        <v>Low</v>
      </c>
      <c r="L555">
        <f t="shared" si="26"/>
        <v>1</v>
      </c>
    </row>
    <row r="556" spans="1:12">
      <c r="A556">
        <v>1</v>
      </c>
      <c r="B556">
        <v>3</v>
      </c>
      <c r="C556" t="s">
        <v>575</v>
      </c>
      <c r="D556" t="s">
        <v>17</v>
      </c>
      <c r="E556">
        <v>22</v>
      </c>
      <c r="F556">
        <v>0</v>
      </c>
      <c r="G556">
        <v>0</v>
      </c>
      <c r="H556">
        <v>7.7750000000000004</v>
      </c>
      <c r="I556" t="s">
        <v>14</v>
      </c>
      <c r="J556" t="str">
        <f t="shared" si="24"/>
        <v>Adult</v>
      </c>
      <c r="K556" t="str">
        <f t="shared" si="25"/>
        <v>Low</v>
      </c>
      <c r="L556">
        <f t="shared" si="26"/>
        <v>1</v>
      </c>
    </row>
    <row r="557" spans="1:12">
      <c r="A557">
        <v>0</v>
      </c>
      <c r="B557">
        <v>1</v>
      </c>
      <c r="C557" t="s">
        <v>576</v>
      </c>
      <c r="D557" t="s">
        <v>13</v>
      </c>
      <c r="E557">
        <v>62</v>
      </c>
      <c r="F557">
        <v>0</v>
      </c>
      <c r="G557">
        <v>0</v>
      </c>
      <c r="H557">
        <v>26.55</v>
      </c>
      <c r="I557" t="s">
        <v>14</v>
      </c>
      <c r="J557" t="str">
        <f t="shared" si="24"/>
        <v>Adult</v>
      </c>
      <c r="K557" t="str">
        <f t="shared" si="25"/>
        <v>Low</v>
      </c>
      <c r="L557">
        <f t="shared" si="26"/>
        <v>1</v>
      </c>
    </row>
    <row r="558" spans="1:12">
      <c r="A558">
        <v>1</v>
      </c>
      <c r="B558">
        <v>1</v>
      </c>
      <c r="C558" t="s">
        <v>577</v>
      </c>
      <c r="D558" t="s">
        <v>17</v>
      </c>
      <c r="E558">
        <v>48</v>
      </c>
      <c r="F558">
        <v>1</v>
      </c>
      <c r="G558">
        <v>0</v>
      </c>
      <c r="H558">
        <v>39.6</v>
      </c>
      <c r="I558" t="s">
        <v>18</v>
      </c>
      <c r="J558" t="str">
        <f t="shared" si="24"/>
        <v>Adult</v>
      </c>
      <c r="K558" t="str">
        <f t="shared" si="25"/>
        <v>Low</v>
      </c>
      <c r="L558">
        <f t="shared" si="26"/>
        <v>2</v>
      </c>
    </row>
    <row r="559" spans="1:12">
      <c r="A559">
        <v>0</v>
      </c>
      <c r="B559">
        <v>1</v>
      </c>
      <c r="C559" t="s">
        <v>578</v>
      </c>
      <c r="D559" t="s">
        <v>13</v>
      </c>
      <c r="F559">
        <v>0</v>
      </c>
      <c r="G559">
        <v>0</v>
      </c>
      <c r="H559">
        <v>227.52500000000001</v>
      </c>
      <c r="I559" t="s">
        <v>18</v>
      </c>
      <c r="J559" t="str">
        <f t="shared" si="24"/>
        <v>Child</v>
      </c>
      <c r="K559" t="str">
        <f t="shared" si="25"/>
        <v>High</v>
      </c>
      <c r="L559">
        <f t="shared" si="26"/>
        <v>1</v>
      </c>
    </row>
    <row r="560" spans="1:12">
      <c r="A560">
        <v>1</v>
      </c>
      <c r="B560">
        <v>1</v>
      </c>
      <c r="C560" t="s">
        <v>579</v>
      </c>
      <c r="D560" t="s">
        <v>17</v>
      </c>
      <c r="E560">
        <v>39</v>
      </c>
      <c r="F560">
        <v>1</v>
      </c>
      <c r="G560">
        <v>1</v>
      </c>
      <c r="H560">
        <v>79.650000000000006</v>
      </c>
      <c r="I560" t="s">
        <v>14</v>
      </c>
      <c r="J560" t="str">
        <f t="shared" si="24"/>
        <v>Adult</v>
      </c>
      <c r="K560" t="str">
        <f t="shared" si="25"/>
        <v>High</v>
      </c>
      <c r="L560">
        <f t="shared" si="26"/>
        <v>3</v>
      </c>
    </row>
    <row r="561" spans="1:12">
      <c r="A561">
        <v>1</v>
      </c>
      <c r="B561">
        <v>3</v>
      </c>
      <c r="C561" t="s">
        <v>580</v>
      </c>
      <c r="D561" t="s">
        <v>17</v>
      </c>
      <c r="E561">
        <v>36</v>
      </c>
      <c r="F561">
        <v>1</v>
      </c>
      <c r="G561">
        <v>0</v>
      </c>
      <c r="H561">
        <v>17.399999999999999</v>
      </c>
      <c r="I561" t="s">
        <v>14</v>
      </c>
      <c r="J561" t="str">
        <f t="shared" si="24"/>
        <v>Adult</v>
      </c>
      <c r="K561" t="str">
        <f t="shared" si="25"/>
        <v>Low</v>
      </c>
      <c r="L561">
        <f t="shared" si="26"/>
        <v>2</v>
      </c>
    </row>
    <row r="562" spans="1:12">
      <c r="A562">
        <v>0</v>
      </c>
      <c r="B562">
        <v>3</v>
      </c>
      <c r="C562" t="s">
        <v>581</v>
      </c>
      <c r="D562" t="s">
        <v>13</v>
      </c>
      <c r="F562">
        <v>0</v>
      </c>
      <c r="G562">
        <v>0</v>
      </c>
      <c r="H562">
        <v>7.75</v>
      </c>
      <c r="I562" t="s">
        <v>26</v>
      </c>
      <c r="J562" t="str">
        <f t="shared" si="24"/>
        <v>Child</v>
      </c>
      <c r="K562" t="str">
        <f t="shared" si="25"/>
        <v>Low</v>
      </c>
      <c r="L562">
        <f t="shared" si="26"/>
        <v>1</v>
      </c>
    </row>
    <row r="563" spans="1:12">
      <c r="A563">
        <v>0</v>
      </c>
      <c r="B563">
        <v>3</v>
      </c>
      <c r="C563" t="s">
        <v>582</v>
      </c>
      <c r="D563" t="s">
        <v>13</v>
      </c>
      <c r="E563">
        <v>40</v>
      </c>
      <c r="F563">
        <v>0</v>
      </c>
      <c r="G563">
        <v>0</v>
      </c>
      <c r="H563">
        <v>7.8958000000000004</v>
      </c>
      <c r="I563" t="s">
        <v>14</v>
      </c>
      <c r="J563" t="str">
        <f t="shared" si="24"/>
        <v>Adult</v>
      </c>
      <c r="K563" t="str">
        <f t="shared" si="25"/>
        <v>Low</v>
      </c>
      <c r="L563">
        <f t="shared" si="26"/>
        <v>1</v>
      </c>
    </row>
    <row r="564" spans="1:12">
      <c r="A564">
        <v>0</v>
      </c>
      <c r="B564">
        <v>2</v>
      </c>
      <c r="C564" t="s">
        <v>583</v>
      </c>
      <c r="D564" t="s">
        <v>13</v>
      </c>
      <c r="E564">
        <v>28</v>
      </c>
      <c r="F564">
        <v>0</v>
      </c>
      <c r="G564">
        <v>0</v>
      </c>
      <c r="H564">
        <v>13.5</v>
      </c>
      <c r="I564" t="s">
        <v>14</v>
      </c>
      <c r="J564" t="str">
        <f t="shared" si="24"/>
        <v>Adult</v>
      </c>
      <c r="K564" t="str">
        <f t="shared" si="25"/>
        <v>Low</v>
      </c>
      <c r="L564">
        <f t="shared" si="26"/>
        <v>1</v>
      </c>
    </row>
    <row r="565" spans="1:12">
      <c r="A565">
        <v>0</v>
      </c>
      <c r="B565">
        <v>3</v>
      </c>
      <c r="C565" t="s">
        <v>584</v>
      </c>
      <c r="D565" t="s">
        <v>13</v>
      </c>
      <c r="F565">
        <v>0</v>
      </c>
      <c r="G565">
        <v>0</v>
      </c>
      <c r="H565">
        <v>8.0500000000000007</v>
      </c>
      <c r="I565" t="s">
        <v>14</v>
      </c>
      <c r="J565" t="str">
        <f t="shared" si="24"/>
        <v>Child</v>
      </c>
      <c r="K565" t="str">
        <f t="shared" si="25"/>
        <v>Low</v>
      </c>
      <c r="L565">
        <f t="shared" si="26"/>
        <v>1</v>
      </c>
    </row>
    <row r="566" spans="1:12">
      <c r="A566">
        <v>0</v>
      </c>
      <c r="B566">
        <v>3</v>
      </c>
      <c r="C566" t="s">
        <v>585</v>
      </c>
      <c r="D566" t="s">
        <v>17</v>
      </c>
      <c r="F566">
        <v>0</v>
      </c>
      <c r="G566">
        <v>0</v>
      </c>
      <c r="H566">
        <v>8.0500000000000007</v>
      </c>
      <c r="I566" t="s">
        <v>14</v>
      </c>
      <c r="J566" t="str">
        <f t="shared" si="24"/>
        <v>Child</v>
      </c>
      <c r="K566" t="str">
        <f t="shared" si="25"/>
        <v>Low</v>
      </c>
      <c r="L566">
        <f t="shared" si="26"/>
        <v>1</v>
      </c>
    </row>
    <row r="567" spans="1:12">
      <c r="A567">
        <v>0</v>
      </c>
      <c r="B567">
        <v>3</v>
      </c>
      <c r="C567" t="s">
        <v>586</v>
      </c>
      <c r="D567" t="s">
        <v>13</v>
      </c>
      <c r="E567">
        <v>24</v>
      </c>
      <c r="F567">
        <v>2</v>
      </c>
      <c r="G567">
        <v>0</v>
      </c>
      <c r="H567">
        <v>24.15</v>
      </c>
      <c r="I567" t="s">
        <v>14</v>
      </c>
      <c r="J567" t="str">
        <f t="shared" si="24"/>
        <v>Adult</v>
      </c>
      <c r="K567" t="str">
        <f t="shared" si="25"/>
        <v>Low</v>
      </c>
      <c r="L567">
        <f t="shared" si="26"/>
        <v>3</v>
      </c>
    </row>
    <row r="568" spans="1:12">
      <c r="A568">
        <v>0</v>
      </c>
      <c r="B568">
        <v>3</v>
      </c>
      <c r="C568" t="s">
        <v>587</v>
      </c>
      <c r="D568" t="s">
        <v>13</v>
      </c>
      <c r="E568">
        <v>19</v>
      </c>
      <c r="F568">
        <v>0</v>
      </c>
      <c r="G568">
        <v>0</v>
      </c>
      <c r="H568">
        <v>7.8958000000000004</v>
      </c>
      <c r="I568" t="s">
        <v>14</v>
      </c>
      <c r="J568" t="str">
        <f t="shared" si="24"/>
        <v>Adult</v>
      </c>
      <c r="K568" t="str">
        <f t="shared" si="25"/>
        <v>Low</v>
      </c>
      <c r="L568">
        <f t="shared" si="26"/>
        <v>1</v>
      </c>
    </row>
    <row r="569" spans="1:12">
      <c r="A569">
        <v>0</v>
      </c>
      <c r="B569">
        <v>3</v>
      </c>
      <c r="C569" t="s">
        <v>588</v>
      </c>
      <c r="D569" t="s">
        <v>17</v>
      </c>
      <c r="E569">
        <v>29</v>
      </c>
      <c r="F569">
        <v>0</v>
      </c>
      <c r="G569">
        <v>4</v>
      </c>
      <c r="H569">
        <v>21.074999999999999</v>
      </c>
      <c r="I569" t="s">
        <v>14</v>
      </c>
      <c r="J569" t="str">
        <f t="shared" si="24"/>
        <v>Adult</v>
      </c>
      <c r="K569" t="str">
        <f t="shared" si="25"/>
        <v>Low</v>
      </c>
      <c r="L569">
        <f t="shared" si="26"/>
        <v>5</v>
      </c>
    </row>
    <row r="570" spans="1:12">
      <c r="A570">
        <v>0</v>
      </c>
      <c r="B570">
        <v>3</v>
      </c>
      <c r="C570" t="s">
        <v>589</v>
      </c>
      <c r="D570" t="s">
        <v>13</v>
      </c>
      <c r="F570">
        <v>0</v>
      </c>
      <c r="G570">
        <v>0</v>
      </c>
      <c r="H570">
        <v>7.2291999999999996</v>
      </c>
      <c r="I570" t="s">
        <v>18</v>
      </c>
      <c r="J570" t="str">
        <f t="shared" si="24"/>
        <v>Child</v>
      </c>
      <c r="K570" t="str">
        <f t="shared" si="25"/>
        <v>Low</v>
      </c>
      <c r="L570">
        <f t="shared" si="26"/>
        <v>1</v>
      </c>
    </row>
    <row r="571" spans="1:12">
      <c r="A571">
        <v>1</v>
      </c>
      <c r="B571">
        <v>3</v>
      </c>
      <c r="C571" t="s">
        <v>590</v>
      </c>
      <c r="D571" t="s">
        <v>13</v>
      </c>
      <c r="E571">
        <v>32</v>
      </c>
      <c r="F571">
        <v>0</v>
      </c>
      <c r="G571">
        <v>0</v>
      </c>
      <c r="H571">
        <v>7.8541999999999996</v>
      </c>
      <c r="I571" t="s">
        <v>14</v>
      </c>
      <c r="J571" t="str">
        <f t="shared" si="24"/>
        <v>Adult</v>
      </c>
      <c r="K571" t="str">
        <f t="shared" si="25"/>
        <v>Low</v>
      </c>
      <c r="L571">
        <f t="shared" si="26"/>
        <v>1</v>
      </c>
    </row>
    <row r="572" spans="1:12">
      <c r="A572">
        <v>1</v>
      </c>
      <c r="B572">
        <v>2</v>
      </c>
      <c r="C572" t="s">
        <v>591</v>
      </c>
      <c r="D572" t="s">
        <v>13</v>
      </c>
      <c r="E572">
        <v>62</v>
      </c>
      <c r="F572">
        <v>0</v>
      </c>
      <c r="G572">
        <v>0</v>
      </c>
      <c r="H572">
        <v>10.5</v>
      </c>
      <c r="I572" t="s">
        <v>14</v>
      </c>
      <c r="J572" t="str">
        <f t="shared" si="24"/>
        <v>Adult</v>
      </c>
      <c r="K572" t="str">
        <f t="shared" si="25"/>
        <v>Low</v>
      </c>
      <c r="L572">
        <f t="shared" si="26"/>
        <v>1</v>
      </c>
    </row>
    <row r="573" spans="1:12">
      <c r="A573">
        <v>1</v>
      </c>
      <c r="B573">
        <v>1</v>
      </c>
      <c r="C573" t="s">
        <v>592</v>
      </c>
      <c r="D573" t="s">
        <v>17</v>
      </c>
      <c r="E573">
        <v>53</v>
      </c>
      <c r="F573">
        <v>2</v>
      </c>
      <c r="G573">
        <v>0</v>
      </c>
      <c r="H573">
        <v>51.479199999999999</v>
      </c>
      <c r="I573" t="s">
        <v>14</v>
      </c>
      <c r="J573" t="str">
        <f t="shared" si="24"/>
        <v>Adult</v>
      </c>
      <c r="K573" t="str">
        <f t="shared" si="25"/>
        <v>High</v>
      </c>
      <c r="L573">
        <f t="shared" si="26"/>
        <v>3</v>
      </c>
    </row>
    <row r="574" spans="1:12">
      <c r="A574">
        <v>1</v>
      </c>
      <c r="B574">
        <v>1</v>
      </c>
      <c r="C574" t="s">
        <v>593</v>
      </c>
      <c r="D574" t="s">
        <v>13</v>
      </c>
      <c r="E574">
        <v>36</v>
      </c>
      <c r="F574">
        <v>0</v>
      </c>
      <c r="G574">
        <v>0</v>
      </c>
      <c r="H574">
        <v>26.387499999999999</v>
      </c>
      <c r="I574" t="s">
        <v>14</v>
      </c>
      <c r="J574" t="str">
        <f t="shared" si="24"/>
        <v>Adult</v>
      </c>
      <c r="K574" t="str">
        <f t="shared" si="25"/>
        <v>Low</v>
      </c>
      <c r="L574">
        <f t="shared" si="26"/>
        <v>1</v>
      </c>
    </row>
    <row r="575" spans="1:12">
      <c r="A575">
        <v>1</v>
      </c>
      <c r="B575">
        <v>3</v>
      </c>
      <c r="C575" t="s">
        <v>594</v>
      </c>
      <c r="D575" t="s">
        <v>17</v>
      </c>
      <c r="F575">
        <v>0</v>
      </c>
      <c r="G575">
        <v>0</v>
      </c>
      <c r="H575">
        <v>7.75</v>
      </c>
      <c r="I575" t="s">
        <v>26</v>
      </c>
      <c r="J575" t="str">
        <f t="shared" si="24"/>
        <v>Child</v>
      </c>
      <c r="K575" t="str">
        <f t="shared" si="25"/>
        <v>Low</v>
      </c>
      <c r="L575">
        <f t="shared" si="26"/>
        <v>1</v>
      </c>
    </row>
    <row r="576" spans="1:12">
      <c r="A576">
        <v>0</v>
      </c>
      <c r="B576">
        <v>3</v>
      </c>
      <c r="C576" t="s">
        <v>595</v>
      </c>
      <c r="D576" t="s">
        <v>13</v>
      </c>
      <c r="E576">
        <v>16</v>
      </c>
      <c r="F576">
        <v>0</v>
      </c>
      <c r="G576">
        <v>0</v>
      </c>
      <c r="H576">
        <v>8.0500000000000007</v>
      </c>
      <c r="I576" t="s">
        <v>14</v>
      </c>
      <c r="J576" t="str">
        <f t="shared" si="24"/>
        <v>Child</v>
      </c>
      <c r="K576" t="str">
        <f t="shared" si="25"/>
        <v>Low</v>
      </c>
      <c r="L576">
        <f t="shared" si="26"/>
        <v>1</v>
      </c>
    </row>
    <row r="577" spans="1:12">
      <c r="A577">
        <v>0</v>
      </c>
      <c r="B577">
        <v>3</v>
      </c>
      <c r="C577" t="s">
        <v>596</v>
      </c>
      <c r="D577" t="s">
        <v>13</v>
      </c>
      <c r="E577">
        <v>19</v>
      </c>
      <c r="F577">
        <v>0</v>
      </c>
      <c r="G577">
        <v>0</v>
      </c>
      <c r="H577">
        <v>14.5</v>
      </c>
      <c r="I577" t="s">
        <v>14</v>
      </c>
      <c r="J577" t="str">
        <f t="shared" si="24"/>
        <v>Adult</v>
      </c>
      <c r="K577" t="str">
        <f t="shared" si="25"/>
        <v>Low</v>
      </c>
      <c r="L577">
        <f t="shared" si="26"/>
        <v>1</v>
      </c>
    </row>
    <row r="578" spans="1:12">
      <c r="A578">
        <v>1</v>
      </c>
      <c r="B578">
        <v>2</v>
      </c>
      <c r="C578" t="s">
        <v>597</v>
      </c>
      <c r="D578" t="s">
        <v>17</v>
      </c>
      <c r="E578">
        <v>34</v>
      </c>
      <c r="F578">
        <v>0</v>
      </c>
      <c r="G578">
        <v>0</v>
      </c>
      <c r="H578">
        <v>13</v>
      </c>
      <c r="I578" t="s">
        <v>14</v>
      </c>
      <c r="J578" t="str">
        <f t="shared" si="24"/>
        <v>Adult</v>
      </c>
      <c r="K578" t="str">
        <f t="shared" si="25"/>
        <v>Low</v>
      </c>
      <c r="L578">
        <f t="shared" si="26"/>
        <v>1</v>
      </c>
    </row>
    <row r="579" spans="1:12">
      <c r="A579">
        <v>1</v>
      </c>
      <c r="B579">
        <v>1</v>
      </c>
      <c r="C579" t="s">
        <v>598</v>
      </c>
      <c r="D579" t="s">
        <v>17</v>
      </c>
      <c r="E579">
        <v>39</v>
      </c>
      <c r="F579">
        <v>1</v>
      </c>
      <c r="G579">
        <v>0</v>
      </c>
      <c r="H579">
        <v>55.9</v>
      </c>
      <c r="I579" t="s">
        <v>14</v>
      </c>
      <c r="J579" t="str">
        <f t="shared" ref="J579:J642" si="27">IF(E579&lt;18,"Child","Adult")</f>
        <v>Adult</v>
      </c>
      <c r="K579" t="str">
        <f t="shared" ref="K579:K642" si="28">IF(H579&gt;50,"High","Low")</f>
        <v>High</v>
      </c>
      <c r="L579">
        <f t="shared" ref="L579:L642" si="29">F579+G579+1</f>
        <v>2</v>
      </c>
    </row>
    <row r="580" spans="1:12">
      <c r="A580">
        <v>0</v>
      </c>
      <c r="B580">
        <v>3</v>
      </c>
      <c r="C580" t="s">
        <v>599</v>
      </c>
      <c r="D580" t="s">
        <v>17</v>
      </c>
      <c r="F580">
        <v>1</v>
      </c>
      <c r="G580">
        <v>0</v>
      </c>
      <c r="H580">
        <v>14.458299999999999</v>
      </c>
      <c r="I580" t="s">
        <v>18</v>
      </c>
      <c r="J580" t="str">
        <f t="shared" si="27"/>
        <v>Child</v>
      </c>
      <c r="K580" t="str">
        <f t="shared" si="28"/>
        <v>Low</v>
      </c>
      <c r="L580">
        <f t="shared" si="29"/>
        <v>2</v>
      </c>
    </row>
    <row r="581" spans="1:12">
      <c r="A581">
        <v>1</v>
      </c>
      <c r="B581">
        <v>3</v>
      </c>
      <c r="C581" t="s">
        <v>600</v>
      </c>
      <c r="D581" t="s">
        <v>13</v>
      </c>
      <c r="E581">
        <v>32</v>
      </c>
      <c r="F581">
        <v>0</v>
      </c>
      <c r="G581">
        <v>0</v>
      </c>
      <c r="H581">
        <v>7.9249999999999998</v>
      </c>
      <c r="I581" t="s">
        <v>14</v>
      </c>
      <c r="J581" t="str">
        <f t="shared" si="27"/>
        <v>Adult</v>
      </c>
      <c r="K581" t="str">
        <f t="shared" si="28"/>
        <v>Low</v>
      </c>
      <c r="L581">
        <f t="shared" si="29"/>
        <v>1</v>
      </c>
    </row>
    <row r="582" spans="1:12">
      <c r="A582">
        <v>1</v>
      </c>
      <c r="B582">
        <v>2</v>
      </c>
      <c r="C582" t="s">
        <v>601</v>
      </c>
      <c r="D582" t="s">
        <v>17</v>
      </c>
      <c r="E582">
        <v>25</v>
      </c>
      <c r="F582">
        <v>1</v>
      </c>
      <c r="G582">
        <v>1</v>
      </c>
      <c r="H582">
        <v>30</v>
      </c>
      <c r="I582" t="s">
        <v>14</v>
      </c>
      <c r="J582" t="str">
        <f t="shared" si="27"/>
        <v>Adult</v>
      </c>
      <c r="K582" t="str">
        <f t="shared" si="28"/>
        <v>Low</v>
      </c>
      <c r="L582">
        <f t="shared" si="29"/>
        <v>3</v>
      </c>
    </row>
    <row r="583" spans="1:12">
      <c r="A583">
        <v>1</v>
      </c>
      <c r="B583">
        <v>1</v>
      </c>
      <c r="C583" t="s">
        <v>602</v>
      </c>
      <c r="D583" t="s">
        <v>17</v>
      </c>
      <c r="E583">
        <v>39</v>
      </c>
      <c r="F583">
        <v>1</v>
      </c>
      <c r="G583">
        <v>1</v>
      </c>
      <c r="H583">
        <v>110.88330000000001</v>
      </c>
      <c r="I583" t="s">
        <v>18</v>
      </c>
      <c r="J583" t="str">
        <f t="shared" si="27"/>
        <v>Adult</v>
      </c>
      <c r="K583" t="str">
        <f t="shared" si="28"/>
        <v>High</v>
      </c>
      <c r="L583">
        <f t="shared" si="29"/>
        <v>3</v>
      </c>
    </row>
    <row r="584" spans="1:12">
      <c r="A584">
        <v>0</v>
      </c>
      <c r="B584">
        <v>2</v>
      </c>
      <c r="C584" t="s">
        <v>603</v>
      </c>
      <c r="D584" t="s">
        <v>13</v>
      </c>
      <c r="E584">
        <v>54</v>
      </c>
      <c r="F584">
        <v>0</v>
      </c>
      <c r="G584">
        <v>0</v>
      </c>
      <c r="H584">
        <v>26</v>
      </c>
      <c r="I584" t="s">
        <v>14</v>
      </c>
      <c r="J584" t="str">
        <f t="shared" si="27"/>
        <v>Adult</v>
      </c>
      <c r="K584" t="str">
        <f t="shared" si="28"/>
        <v>Low</v>
      </c>
      <c r="L584">
        <f t="shared" si="29"/>
        <v>1</v>
      </c>
    </row>
    <row r="585" spans="1:12">
      <c r="A585">
        <v>0</v>
      </c>
      <c r="B585">
        <v>1</v>
      </c>
      <c r="C585" t="s">
        <v>604</v>
      </c>
      <c r="D585" t="s">
        <v>13</v>
      </c>
      <c r="E585">
        <v>36</v>
      </c>
      <c r="F585">
        <v>0</v>
      </c>
      <c r="G585">
        <v>0</v>
      </c>
      <c r="H585">
        <v>40.125</v>
      </c>
      <c r="I585" t="s">
        <v>18</v>
      </c>
      <c r="J585" t="str">
        <f t="shared" si="27"/>
        <v>Adult</v>
      </c>
      <c r="K585" t="str">
        <f t="shared" si="28"/>
        <v>Low</v>
      </c>
      <c r="L585">
        <f t="shared" si="29"/>
        <v>1</v>
      </c>
    </row>
    <row r="586" spans="1:12">
      <c r="A586">
        <v>0</v>
      </c>
      <c r="B586">
        <v>3</v>
      </c>
      <c r="C586" t="s">
        <v>605</v>
      </c>
      <c r="D586" t="s">
        <v>13</v>
      </c>
      <c r="F586">
        <v>0</v>
      </c>
      <c r="G586">
        <v>0</v>
      </c>
      <c r="H586">
        <v>8.7125000000000004</v>
      </c>
      <c r="I586" t="s">
        <v>18</v>
      </c>
      <c r="J586" t="str">
        <f t="shared" si="27"/>
        <v>Child</v>
      </c>
      <c r="K586" t="str">
        <f t="shared" si="28"/>
        <v>Low</v>
      </c>
      <c r="L586">
        <f t="shared" si="29"/>
        <v>1</v>
      </c>
    </row>
    <row r="587" spans="1:12">
      <c r="A587">
        <v>1</v>
      </c>
      <c r="B587">
        <v>1</v>
      </c>
      <c r="C587" t="s">
        <v>606</v>
      </c>
      <c r="D587" t="s">
        <v>17</v>
      </c>
      <c r="E587">
        <v>18</v>
      </c>
      <c r="F587">
        <v>0</v>
      </c>
      <c r="G587">
        <v>2</v>
      </c>
      <c r="H587">
        <v>79.650000000000006</v>
      </c>
      <c r="I587" t="s">
        <v>14</v>
      </c>
      <c r="J587" t="str">
        <f t="shared" si="27"/>
        <v>Adult</v>
      </c>
      <c r="K587" t="str">
        <f t="shared" si="28"/>
        <v>High</v>
      </c>
      <c r="L587">
        <f t="shared" si="29"/>
        <v>3</v>
      </c>
    </row>
    <row r="588" spans="1:12">
      <c r="A588">
        <v>0</v>
      </c>
      <c r="B588">
        <v>2</v>
      </c>
      <c r="C588" t="s">
        <v>607</v>
      </c>
      <c r="D588" t="s">
        <v>13</v>
      </c>
      <c r="E588">
        <v>47</v>
      </c>
      <c r="F588">
        <v>0</v>
      </c>
      <c r="G588">
        <v>0</v>
      </c>
      <c r="H588">
        <v>15</v>
      </c>
      <c r="I588" t="s">
        <v>14</v>
      </c>
      <c r="J588" t="str">
        <f t="shared" si="27"/>
        <v>Adult</v>
      </c>
      <c r="K588" t="str">
        <f t="shared" si="28"/>
        <v>Low</v>
      </c>
      <c r="L588">
        <f t="shared" si="29"/>
        <v>1</v>
      </c>
    </row>
    <row r="589" spans="1:12">
      <c r="A589">
        <v>1</v>
      </c>
      <c r="B589">
        <v>1</v>
      </c>
      <c r="C589" t="s">
        <v>608</v>
      </c>
      <c r="D589" t="s">
        <v>13</v>
      </c>
      <c r="E589">
        <v>60</v>
      </c>
      <c r="F589">
        <v>1</v>
      </c>
      <c r="G589">
        <v>1</v>
      </c>
      <c r="H589">
        <v>79.2</v>
      </c>
      <c r="I589" t="s">
        <v>18</v>
      </c>
      <c r="J589" t="str">
        <f t="shared" si="27"/>
        <v>Adult</v>
      </c>
      <c r="K589" t="str">
        <f t="shared" si="28"/>
        <v>High</v>
      </c>
      <c r="L589">
        <f t="shared" si="29"/>
        <v>3</v>
      </c>
    </row>
    <row r="590" spans="1:12">
      <c r="A590">
        <v>0</v>
      </c>
      <c r="B590">
        <v>3</v>
      </c>
      <c r="C590" t="s">
        <v>609</v>
      </c>
      <c r="D590" t="s">
        <v>13</v>
      </c>
      <c r="E590">
        <v>22</v>
      </c>
      <c r="F590">
        <v>0</v>
      </c>
      <c r="G590">
        <v>0</v>
      </c>
      <c r="H590">
        <v>8.0500000000000007</v>
      </c>
      <c r="I590" t="s">
        <v>14</v>
      </c>
      <c r="J590" t="str">
        <f t="shared" si="27"/>
        <v>Adult</v>
      </c>
      <c r="K590" t="str">
        <f t="shared" si="28"/>
        <v>Low</v>
      </c>
      <c r="L590">
        <f t="shared" si="29"/>
        <v>1</v>
      </c>
    </row>
    <row r="591" spans="1:12">
      <c r="A591">
        <v>0</v>
      </c>
      <c r="B591">
        <v>3</v>
      </c>
      <c r="C591" t="s">
        <v>610</v>
      </c>
      <c r="D591" t="s">
        <v>13</v>
      </c>
      <c r="F591">
        <v>0</v>
      </c>
      <c r="G591">
        <v>0</v>
      </c>
      <c r="H591">
        <v>8.0500000000000007</v>
      </c>
      <c r="I591" t="s">
        <v>14</v>
      </c>
      <c r="J591" t="str">
        <f t="shared" si="27"/>
        <v>Child</v>
      </c>
      <c r="K591" t="str">
        <f t="shared" si="28"/>
        <v>Low</v>
      </c>
      <c r="L591">
        <f t="shared" si="29"/>
        <v>1</v>
      </c>
    </row>
    <row r="592" spans="1:12">
      <c r="A592">
        <v>0</v>
      </c>
      <c r="B592">
        <v>3</v>
      </c>
      <c r="C592" t="s">
        <v>611</v>
      </c>
      <c r="D592" t="s">
        <v>13</v>
      </c>
      <c r="E592">
        <v>35</v>
      </c>
      <c r="F592">
        <v>0</v>
      </c>
      <c r="G592">
        <v>0</v>
      </c>
      <c r="H592">
        <v>7.125</v>
      </c>
      <c r="I592" t="s">
        <v>14</v>
      </c>
      <c r="J592" t="str">
        <f t="shared" si="27"/>
        <v>Adult</v>
      </c>
      <c r="K592" t="str">
        <f t="shared" si="28"/>
        <v>Low</v>
      </c>
      <c r="L592">
        <f t="shared" si="29"/>
        <v>1</v>
      </c>
    </row>
    <row r="593" spans="1:12">
      <c r="A593">
        <v>1</v>
      </c>
      <c r="B593">
        <v>1</v>
      </c>
      <c r="C593" t="s">
        <v>612</v>
      </c>
      <c r="D593" t="s">
        <v>17</v>
      </c>
      <c r="E593">
        <v>52</v>
      </c>
      <c r="F593">
        <v>1</v>
      </c>
      <c r="G593">
        <v>0</v>
      </c>
      <c r="H593">
        <v>78.2667</v>
      </c>
      <c r="I593" t="s">
        <v>18</v>
      </c>
      <c r="J593" t="str">
        <f t="shared" si="27"/>
        <v>Adult</v>
      </c>
      <c r="K593" t="str">
        <f t="shared" si="28"/>
        <v>High</v>
      </c>
      <c r="L593">
        <f t="shared" si="29"/>
        <v>2</v>
      </c>
    </row>
    <row r="594" spans="1:12">
      <c r="A594">
        <v>0</v>
      </c>
      <c r="B594">
        <v>3</v>
      </c>
      <c r="C594" t="s">
        <v>613</v>
      </c>
      <c r="D594" t="s">
        <v>13</v>
      </c>
      <c r="E594">
        <v>47</v>
      </c>
      <c r="F594">
        <v>0</v>
      </c>
      <c r="G594">
        <v>0</v>
      </c>
      <c r="H594">
        <v>7.25</v>
      </c>
      <c r="I594" t="s">
        <v>14</v>
      </c>
      <c r="J594" t="str">
        <f t="shared" si="27"/>
        <v>Adult</v>
      </c>
      <c r="K594" t="str">
        <f t="shared" si="28"/>
        <v>Low</v>
      </c>
      <c r="L594">
        <f t="shared" si="29"/>
        <v>1</v>
      </c>
    </row>
    <row r="595" spans="1:12">
      <c r="A595">
        <v>0</v>
      </c>
      <c r="B595">
        <v>3</v>
      </c>
      <c r="C595" t="s">
        <v>614</v>
      </c>
      <c r="D595" t="s">
        <v>17</v>
      </c>
      <c r="F595">
        <v>0</v>
      </c>
      <c r="G595">
        <v>2</v>
      </c>
      <c r="H595">
        <v>7.75</v>
      </c>
      <c r="I595" t="s">
        <v>26</v>
      </c>
      <c r="J595" t="str">
        <f t="shared" si="27"/>
        <v>Child</v>
      </c>
      <c r="K595" t="str">
        <f t="shared" si="28"/>
        <v>Low</v>
      </c>
      <c r="L595">
        <f t="shared" si="29"/>
        <v>3</v>
      </c>
    </row>
    <row r="596" spans="1:12">
      <c r="A596">
        <v>0</v>
      </c>
      <c r="B596">
        <v>2</v>
      </c>
      <c r="C596" t="s">
        <v>615</v>
      </c>
      <c r="D596" t="s">
        <v>13</v>
      </c>
      <c r="E596">
        <v>37</v>
      </c>
      <c r="F596">
        <v>1</v>
      </c>
      <c r="G596">
        <v>0</v>
      </c>
      <c r="H596">
        <v>26</v>
      </c>
      <c r="I596" t="s">
        <v>14</v>
      </c>
      <c r="J596" t="str">
        <f t="shared" si="27"/>
        <v>Adult</v>
      </c>
      <c r="K596" t="str">
        <f t="shared" si="28"/>
        <v>Low</v>
      </c>
      <c r="L596">
        <f t="shared" si="29"/>
        <v>2</v>
      </c>
    </row>
    <row r="597" spans="1:12">
      <c r="A597">
        <v>0</v>
      </c>
      <c r="B597">
        <v>3</v>
      </c>
      <c r="C597" t="s">
        <v>616</v>
      </c>
      <c r="D597" t="s">
        <v>13</v>
      </c>
      <c r="E597">
        <v>36</v>
      </c>
      <c r="F597">
        <v>1</v>
      </c>
      <c r="G597">
        <v>1</v>
      </c>
      <c r="H597">
        <v>24.15</v>
      </c>
      <c r="I597" t="s">
        <v>14</v>
      </c>
      <c r="J597" t="str">
        <f t="shared" si="27"/>
        <v>Adult</v>
      </c>
      <c r="K597" t="str">
        <f t="shared" si="28"/>
        <v>Low</v>
      </c>
      <c r="L597">
        <f t="shared" si="29"/>
        <v>3</v>
      </c>
    </row>
    <row r="598" spans="1:12">
      <c r="A598">
        <v>1</v>
      </c>
      <c r="B598">
        <v>2</v>
      </c>
      <c r="C598" t="s">
        <v>617</v>
      </c>
      <c r="D598" t="s">
        <v>17</v>
      </c>
      <c r="F598">
        <v>0</v>
      </c>
      <c r="G598">
        <v>0</v>
      </c>
      <c r="H598">
        <v>33</v>
      </c>
      <c r="I598" t="s">
        <v>14</v>
      </c>
      <c r="J598" t="str">
        <f t="shared" si="27"/>
        <v>Child</v>
      </c>
      <c r="K598" t="str">
        <f t="shared" si="28"/>
        <v>Low</v>
      </c>
      <c r="L598">
        <f t="shared" si="29"/>
        <v>1</v>
      </c>
    </row>
    <row r="599" spans="1:12">
      <c r="A599">
        <v>0</v>
      </c>
      <c r="B599">
        <v>3</v>
      </c>
      <c r="C599" t="s">
        <v>618</v>
      </c>
      <c r="D599" t="s">
        <v>13</v>
      </c>
      <c r="E599">
        <v>49</v>
      </c>
      <c r="F599">
        <v>0</v>
      </c>
      <c r="G599">
        <v>0</v>
      </c>
      <c r="H599">
        <v>0</v>
      </c>
      <c r="I599" t="s">
        <v>14</v>
      </c>
      <c r="J599" t="str">
        <f t="shared" si="27"/>
        <v>Adult</v>
      </c>
      <c r="K599" t="str">
        <f t="shared" si="28"/>
        <v>Low</v>
      </c>
      <c r="L599">
        <f t="shared" si="29"/>
        <v>1</v>
      </c>
    </row>
    <row r="600" spans="1:12">
      <c r="A600">
        <v>0</v>
      </c>
      <c r="B600">
        <v>3</v>
      </c>
      <c r="C600" t="s">
        <v>619</v>
      </c>
      <c r="D600" t="s">
        <v>13</v>
      </c>
      <c r="F600">
        <v>0</v>
      </c>
      <c r="G600">
        <v>0</v>
      </c>
      <c r="H600">
        <v>7.2249999999999996</v>
      </c>
      <c r="I600" t="s">
        <v>18</v>
      </c>
      <c r="J600" t="str">
        <f t="shared" si="27"/>
        <v>Child</v>
      </c>
      <c r="K600" t="str">
        <f t="shared" si="28"/>
        <v>Low</v>
      </c>
      <c r="L600">
        <f t="shared" si="29"/>
        <v>1</v>
      </c>
    </row>
    <row r="601" spans="1:12">
      <c r="A601">
        <v>1</v>
      </c>
      <c r="B601">
        <v>1</v>
      </c>
      <c r="C601" t="s">
        <v>620</v>
      </c>
      <c r="D601" t="s">
        <v>13</v>
      </c>
      <c r="E601">
        <v>49</v>
      </c>
      <c r="F601">
        <v>1</v>
      </c>
      <c r="G601">
        <v>0</v>
      </c>
      <c r="H601">
        <v>56.929200000000002</v>
      </c>
      <c r="I601" t="s">
        <v>18</v>
      </c>
      <c r="J601" t="str">
        <f t="shared" si="27"/>
        <v>Adult</v>
      </c>
      <c r="K601" t="str">
        <f t="shared" si="28"/>
        <v>High</v>
      </c>
      <c r="L601">
        <f t="shared" si="29"/>
        <v>2</v>
      </c>
    </row>
    <row r="602" spans="1:12">
      <c r="A602">
        <v>1</v>
      </c>
      <c r="B602">
        <v>2</v>
      </c>
      <c r="C602" t="s">
        <v>621</v>
      </c>
      <c r="D602" t="s">
        <v>17</v>
      </c>
      <c r="E602">
        <v>24</v>
      </c>
      <c r="F602">
        <v>2</v>
      </c>
      <c r="G602">
        <v>1</v>
      </c>
      <c r="H602">
        <v>27</v>
      </c>
      <c r="I602" t="s">
        <v>14</v>
      </c>
      <c r="J602" t="str">
        <f t="shared" si="27"/>
        <v>Adult</v>
      </c>
      <c r="K602" t="str">
        <f t="shared" si="28"/>
        <v>Low</v>
      </c>
      <c r="L602">
        <f t="shared" si="29"/>
        <v>4</v>
      </c>
    </row>
    <row r="603" spans="1:12">
      <c r="A603">
        <v>0</v>
      </c>
      <c r="B603">
        <v>3</v>
      </c>
      <c r="C603" t="s">
        <v>622</v>
      </c>
      <c r="D603" t="s">
        <v>13</v>
      </c>
      <c r="F603">
        <v>0</v>
      </c>
      <c r="G603">
        <v>0</v>
      </c>
      <c r="H603">
        <v>7.8958000000000004</v>
      </c>
      <c r="I603" t="s">
        <v>14</v>
      </c>
      <c r="J603" t="str">
        <f t="shared" si="27"/>
        <v>Child</v>
      </c>
      <c r="K603" t="str">
        <f t="shared" si="28"/>
        <v>Low</v>
      </c>
      <c r="L603">
        <f t="shared" si="29"/>
        <v>1</v>
      </c>
    </row>
    <row r="604" spans="1:12">
      <c r="A604">
        <v>0</v>
      </c>
      <c r="B604">
        <v>1</v>
      </c>
      <c r="C604" t="s">
        <v>623</v>
      </c>
      <c r="D604" t="s">
        <v>13</v>
      </c>
      <c r="F604">
        <v>0</v>
      </c>
      <c r="G604">
        <v>0</v>
      </c>
      <c r="H604">
        <v>42.4</v>
      </c>
      <c r="I604" t="s">
        <v>14</v>
      </c>
      <c r="J604" t="str">
        <f t="shared" si="27"/>
        <v>Child</v>
      </c>
      <c r="K604" t="str">
        <f t="shared" si="28"/>
        <v>Low</v>
      </c>
      <c r="L604">
        <f t="shared" si="29"/>
        <v>1</v>
      </c>
    </row>
    <row r="605" spans="1:12">
      <c r="A605">
        <v>0</v>
      </c>
      <c r="B605">
        <v>3</v>
      </c>
      <c r="C605" t="s">
        <v>624</v>
      </c>
      <c r="D605" t="s">
        <v>13</v>
      </c>
      <c r="E605">
        <v>44</v>
      </c>
      <c r="F605">
        <v>0</v>
      </c>
      <c r="G605">
        <v>0</v>
      </c>
      <c r="H605">
        <v>8.0500000000000007</v>
      </c>
      <c r="I605" t="s">
        <v>14</v>
      </c>
      <c r="J605" t="str">
        <f t="shared" si="27"/>
        <v>Adult</v>
      </c>
      <c r="K605" t="str">
        <f t="shared" si="28"/>
        <v>Low</v>
      </c>
      <c r="L605">
        <f t="shared" si="29"/>
        <v>1</v>
      </c>
    </row>
    <row r="606" spans="1:12">
      <c r="A606">
        <v>1</v>
      </c>
      <c r="B606">
        <v>1</v>
      </c>
      <c r="C606" t="s">
        <v>625</v>
      </c>
      <c r="D606" t="s">
        <v>13</v>
      </c>
      <c r="E606">
        <v>35</v>
      </c>
      <c r="F606">
        <v>0</v>
      </c>
      <c r="G606">
        <v>0</v>
      </c>
      <c r="H606">
        <v>26.55</v>
      </c>
      <c r="I606" t="s">
        <v>18</v>
      </c>
      <c r="J606" t="str">
        <f t="shared" si="27"/>
        <v>Adult</v>
      </c>
      <c r="K606" t="str">
        <f t="shared" si="28"/>
        <v>Low</v>
      </c>
      <c r="L606">
        <f t="shared" si="29"/>
        <v>1</v>
      </c>
    </row>
    <row r="607" spans="1:12">
      <c r="A607">
        <v>0</v>
      </c>
      <c r="B607">
        <v>3</v>
      </c>
      <c r="C607" t="s">
        <v>626</v>
      </c>
      <c r="D607" t="s">
        <v>13</v>
      </c>
      <c r="E607">
        <v>36</v>
      </c>
      <c r="F607">
        <v>1</v>
      </c>
      <c r="G607">
        <v>0</v>
      </c>
      <c r="H607">
        <v>15.55</v>
      </c>
      <c r="I607" t="s">
        <v>14</v>
      </c>
      <c r="J607" t="str">
        <f t="shared" si="27"/>
        <v>Adult</v>
      </c>
      <c r="K607" t="str">
        <f t="shared" si="28"/>
        <v>Low</v>
      </c>
      <c r="L607">
        <f t="shared" si="29"/>
        <v>2</v>
      </c>
    </row>
    <row r="608" spans="1:12">
      <c r="A608">
        <v>0</v>
      </c>
      <c r="B608">
        <v>3</v>
      </c>
      <c r="C608" t="s">
        <v>627</v>
      </c>
      <c r="D608" t="s">
        <v>13</v>
      </c>
      <c r="E608">
        <v>30</v>
      </c>
      <c r="F608">
        <v>0</v>
      </c>
      <c r="G608">
        <v>0</v>
      </c>
      <c r="H608">
        <v>7.8958000000000004</v>
      </c>
      <c r="I608" t="s">
        <v>14</v>
      </c>
      <c r="J608" t="str">
        <f t="shared" si="27"/>
        <v>Adult</v>
      </c>
      <c r="K608" t="str">
        <f t="shared" si="28"/>
        <v>Low</v>
      </c>
      <c r="L608">
        <f t="shared" si="29"/>
        <v>1</v>
      </c>
    </row>
    <row r="609" spans="1:12">
      <c r="A609">
        <v>1</v>
      </c>
      <c r="B609">
        <v>1</v>
      </c>
      <c r="C609" t="s">
        <v>628</v>
      </c>
      <c r="D609" t="s">
        <v>13</v>
      </c>
      <c r="E609">
        <v>27</v>
      </c>
      <c r="F609">
        <v>0</v>
      </c>
      <c r="G609">
        <v>0</v>
      </c>
      <c r="H609">
        <v>30.5</v>
      </c>
      <c r="I609" t="s">
        <v>14</v>
      </c>
      <c r="J609" t="str">
        <f t="shared" si="27"/>
        <v>Adult</v>
      </c>
      <c r="K609" t="str">
        <f t="shared" si="28"/>
        <v>Low</v>
      </c>
      <c r="L609">
        <f t="shared" si="29"/>
        <v>1</v>
      </c>
    </row>
    <row r="610" spans="1:12">
      <c r="A610">
        <v>1</v>
      </c>
      <c r="B610">
        <v>2</v>
      </c>
      <c r="C610" t="s">
        <v>629</v>
      </c>
      <c r="D610" t="s">
        <v>17</v>
      </c>
      <c r="E610">
        <v>22</v>
      </c>
      <c r="F610">
        <v>1</v>
      </c>
      <c r="G610">
        <v>2</v>
      </c>
      <c r="H610">
        <v>41.5792</v>
      </c>
      <c r="I610" t="s">
        <v>18</v>
      </c>
      <c r="J610" t="str">
        <f t="shared" si="27"/>
        <v>Adult</v>
      </c>
      <c r="K610" t="str">
        <f t="shared" si="28"/>
        <v>Low</v>
      </c>
      <c r="L610">
        <f t="shared" si="29"/>
        <v>4</v>
      </c>
    </row>
    <row r="611" spans="1:12">
      <c r="A611">
        <v>1</v>
      </c>
      <c r="B611">
        <v>1</v>
      </c>
      <c r="C611" t="s">
        <v>630</v>
      </c>
      <c r="D611" t="s">
        <v>17</v>
      </c>
      <c r="E611">
        <v>40</v>
      </c>
      <c r="F611">
        <v>0</v>
      </c>
      <c r="G611">
        <v>0</v>
      </c>
      <c r="H611">
        <v>153.46250000000001</v>
      </c>
      <c r="I611" t="s">
        <v>14</v>
      </c>
      <c r="J611" t="str">
        <f t="shared" si="27"/>
        <v>Adult</v>
      </c>
      <c r="K611" t="str">
        <f t="shared" si="28"/>
        <v>High</v>
      </c>
      <c r="L611">
        <f t="shared" si="29"/>
        <v>1</v>
      </c>
    </row>
    <row r="612" spans="1:12">
      <c r="A612">
        <v>0</v>
      </c>
      <c r="B612">
        <v>3</v>
      </c>
      <c r="C612" t="s">
        <v>631</v>
      </c>
      <c r="D612" t="s">
        <v>17</v>
      </c>
      <c r="E612">
        <v>39</v>
      </c>
      <c r="F612">
        <v>1</v>
      </c>
      <c r="G612">
        <v>5</v>
      </c>
      <c r="H612">
        <v>31.274999999999999</v>
      </c>
      <c r="I612" t="s">
        <v>14</v>
      </c>
      <c r="J612" t="str">
        <f t="shared" si="27"/>
        <v>Adult</v>
      </c>
      <c r="K612" t="str">
        <f t="shared" si="28"/>
        <v>Low</v>
      </c>
      <c r="L612">
        <f t="shared" si="29"/>
        <v>7</v>
      </c>
    </row>
    <row r="613" spans="1:12">
      <c r="A613">
        <v>0</v>
      </c>
      <c r="B613">
        <v>3</v>
      </c>
      <c r="C613" t="s">
        <v>632</v>
      </c>
      <c r="D613" t="s">
        <v>13</v>
      </c>
      <c r="F613">
        <v>0</v>
      </c>
      <c r="G613">
        <v>0</v>
      </c>
      <c r="H613">
        <v>7.05</v>
      </c>
      <c r="I613" t="s">
        <v>14</v>
      </c>
      <c r="J613" t="str">
        <f t="shared" si="27"/>
        <v>Child</v>
      </c>
      <c r="K613" t="str">
        <f t="shared" si="28"/>
        <v>Low</v>
      </c>
      <c r="L613">
        <f t="shared" si="29"/>
        <v>1</v>
      </c>
    </row>
    <row r="614" spans="1:12">
      <c r="A614">
        <v>1</v>
      </c>
      <c r="B614">
        <v>3</v>
      </c>
      <c r="C614" t="s">
        <v>633</v>
      </c>
      <c r="D614" t="s">
        <v>17</v>
      </c>
      <c r="F614">
        <v>1</v>
      </c>
      <c r="G614">
        <v>0</v>
      </c>
      <c r="H614">
        <v>15.5</v>
      </c>
      <c r="I614" t="s">
        <v>26</v>
      </c>
      <c r="J614" t="str">
        <f t="shared" si="27"/>
        <v>Child</v>
      </c>
      <c r="K614" t="str">
        <f t="shared" si="28"/>
        <v>Low</v>
      </c>
      <c r="L614">
        <f t="shared" si="29"/>
        <v>2</v>
      </c>
    </row>
    <row r="615" spans="1:12">
      <c r="A615">
        <v>0</v>
      </c>
      <c r="B615">
        <v>3</v>
      </c>
      <c r="C615" t="s">
        <v>634</v>
      </c>
      <c r="D615" t="s">
        <v>13</v>
      </c>
      <c r="F615">
        <v>0</v>
      </c>
      <c r="G615">
        <v>0</v>
      </c>
      <c r="H615">
        <v>7.75</v>
      </c>
      <c r="I615" t="s">
        <v>26</v>
      </c>
      <c r="J615" t="str">
        <f t="shared" si="27"/>
        <v>Child</v>
      </c>
      <c r="K615" t="str">
        <f t="shared" si="28"/>
        <v>Low</v>
      </c>
      <c r="L615">
        <f t="shared" si="29"/>
        <v>1</v>
      </c>
    </row>
    <row r="616" spans="1:12">
      <c r="A616">
        <v>0</v>
      </c>
      <c r="B616">
        <v>3</v>
      </c>
      <c r="C616" t="s">
        <v>635</v>
      </c>
      <c r="D616" t="s">
        <v>13</v>
      </c>
      <c r="E616">
        <v>35</v>
      </c>
      <c r="F616">
        <v>0</v>
      </c>
      <c r="G616">
        <v>0</v>
      </c>
      <c r="H616">
        <v>8.0500000000000007</v>
      </c>
      <c r="I616" t="s">
        <v>14</v>
      </c>
      <c r="J616" t="str">
        <f t="shared" si="27"/>
        <v>Adult</v>
      </c>
      <c r="K616" t="str">
        <f t="shared" si="28"/>
        <v>Low</v>
      </c>
      <c r="L616">
        <f t="shared" si="29"/>
        <v>1</v>
      </c>
    </row>
    <row r="617" spans="1:12">
      <c r="A617">
        <v>1</v>
      </c>
      <c r="B617">
        <v>2</v>
      </c>
      <c r="C617" t="s">
        <v>636</v>
      </c>
      <c r="D617" t="s">
        <v>17</v>
      </c>
      <c r="E617">
        <v>24</v>
      </c>
      <c r="F617">
        <v>1</v>
      </c>
      <c r="G617">
        <v>2</v>
      </c>
      <c r="H617">
        <v>65</v>
      </c>
      <c r="I617" t="s">
        <v>14</v>
      </c>
      <c r="J617" t="str">
        <f t="shared" si="27"/>
        <v>Adult</v>
      </c>
      <c r="K617" t="str">
        <f t="shared" si="28"/>
        <v>High</v>
      </c>
      <c r="L617">
        <f t="shared" si="29"/>
        <v>4</v>
      </c>
    </row>
    <row r="618" spans="1:12">
      <c r="A618">
        <v>0</v>
      </c>
      <c r="B618">
        <v>3</v>
      </c>
      <c r="C618" t="s">
        <v>637</v>
      </c>
      <c r="D618" t="s">
        <v>13</v>
      </c>
      <c r="E618">
        <v>34</v>
      </c>
      <c r="F618">
        <v>1</v>
      </c>
      <c r="G618">
        <v>1</v>
      </c>
      <c r="H618">
        <v>14.4</v>
      </c>
      <c r="I618" t="s">
        <v>14</v>
      </c>
      <c r="J618" t="str">
        <f t="shared" si="27"/>
        <v>Adult</v>
      </c>
      <c r="K618" t="str">
        <f t="shared" si="28"/>
        <v>Low</v>
      </c>
      <c r="L618">
        <f t="shared" si="29"/>
        <v>3</v>
      </c>
    </row>
    <row r="619" spans="1:12">
      <c r="A619">
        <v>0</v>
      </c>
      <c r="B619">
        <v>3</v>
      </c>
      <c r="C619" t="s">
        <v>638</v>
      </c>
      <c r="D619" t="s">
        <v>17</v>
      </c>
      <c r="E619">
        <v>26</v>
      </c>
      <c r="F619">
        <v>1</v>
      </c>
      <c r="G619">
        <v>0</v>
      </c>
      <c r="H619">
        <v>16.100000000000001</v>
      </c>
      <c r="I619" t="s">
        <v>14</v>
      </c>
      <c r="J619" t="str">
        <f t="shared" si="27"/>
        <v>Adult</v>
      </c>
      <c r="K619" t="str">
        <f t="shared" si="28"/>
        <v>Low</v>
      </c>
      <c r="L619">
        <f t="shared" si="29"/>
        <v>2</v>
      </c>
    </row>
    <row r="620" spans="1:12">
      <c r="A620">
        <v>1</v>
      </c>
      <c r="B620">
        <v>2</v>
      </c>
      <c r="C620" t="s">
        <v>639</v>
      </c>
      <c r="D620" t="s">
        <v>17</v>
      </c>
      <c r="E620">
        <v>4</v>
      </c>
      <c r="F620">
        <v>2</v>
      </c>
      <c r="G620">
        <v>1</v>
      </c>
      <c r="H620">
        <v>39</v>
      </c>
      <c r="I620" t="s">
        <v>14</v>
      </c>
      <c r="J620" t="str">
        <f t="shared" si="27"/>
        <v>Child</v>
      </c>
      <c r="K620" t="str">
        <f t="shared" si="28"/>
        <v>Low</v>
      </c>
      <c r="L620">
        <f t="shared" si="29"/>
        <v>4</v>
      </c>
    </row>
    <row r="621" spans="1:12">
      <c r="A621">
        <v>0</v>
      </c>
      <c r="B621">
        <v>2</v>
      </c>
      <c r="C621" t="s">
        <v>640</v>
      </c>
      <c r="D621" t="s">
        <v>13</v>
      </c>
      <c r="E621">
        <v>26</v>
      </c>
      <c r="F621">
        <v>0</v>
      </c>
      <c r="G621">
        <v>0</v>
      </c>
      <c r="H621">
        <v>10.5</v>
      </c>
      <c r="I621" t="s">
        <v>14</v>
      </c>
      <c r="J621" t="str">
        <f t="shared" si="27"/>
        <v>Adult</v>
      </c>
      <c r="K621" t="str">
        <f t="shared" si="28"/>
        <v>Low</v>
      </c>
      <c r="L621">
        <f t="shared" si="29"/>
        <v>1</v>
      </c>
    </row>
    <row r="622" spans="1:12">
      <c r="A622">
        <v>0</v>
      </c>
      <c r="B622">
        <v>3</v>
      </c>
      <c r="C622" t="s">
        <v>641</v>
      </c>
      <c r="D622" t="s">
        <v>13</v>
      </c>
      <c r="E622">
        <v>27</v>
      </c>
      <c r="F622">
        <v>1</v>
      </c>
      <c r="G622">
        <v>0</v>
      </c>
      <c r="H622">
        <v>14.4542</v>
      </c>
      <c r="I622" t="s">
        <v>18</v>
      </c>
      <c r="J622" t="str">
        <f t="shared" si="27"/>
        <v>Adult</v>
      </c>
      <c r="K622" t="str">
        <f t="shared" si="28"/>
        <v>Low</v>
      </c>
      <c r="L622">
        <f t="shared" si="29"/>
        <v>2</v>
      </c>
    </row>
    <row r="623" spans="1:12">
      <c r="A623">
        <v>1</v>
      </c>
      <c r="B623">
        <v>1</v>
      </c>
      <c r="C623" t="s">
        <v>642</v>
      </c>
      <c r="D623" t="s">
        <v>13</v>
      </c>
      <c r="E623">
        <v>42</v>
      </c>
      <c r="F623">
        <v>1</v>
      </c>
      <c r="G623">
        <v>0</v>
      </c>
      <c r="H623">
        <v>52.554200000000002</v>
      </c>
      <c r="I623" t="s">
        <v>14</v>
      </c>
      <c r="J623" t="str">
        <f t="shared" si="27"/>
        <v>Adult</v>
      </c>
      <c r="K623" t="str">
        <f t="shared" si="28"/>
        <v>High</v>
      </c>
      <c r="L623">
        <f t="shared" si="29"/>
        <v>2</v>
      </c>
    </row>
    <row r="624" spans="1:12">
      <c r="A624">
        <v>1</v>
      </c>
      <c r="B624">
        <v>3</v>
      </c>
      <c r="C624" t="s">
        <v>643</v>
      </c>
      <c r="D624" t="s">
        <v>13</v>
      </c>
      <c r="E624">
        <v>20</v>
      </c>
      <c r="F624">
        <v>1</v>
      </c>
      <c r="G624">
        <v>1</v>
      </c>
      <c r="H624">
        <v>15.7417</v>
      </c>
      <c r="I624" t="s">
        <v>18</v>
      </c>
      <c r="J624" t="str">
        <f t="shared" si="27"/>
        <v>Adult</v>
      </c>
      <c r="K624" t="str">
        <f t="shared" si="28"/>
        <v>Low</v>
      </c>
      <c r="L624">
        <f t="shared" si="29"/>
        <v>3</v>
      </c>
    </row>
    <row r="625" spans="1:12">
      <c r="A625">
        <v>0</v>
      </c>
      <c r="B625">
        <v>3</v>
      </c>
      <c r="C625" t="s">
        <v>644</v>
      </c>
      <c r="D625" t="s">
        <v>13</v>
      </c>
      <c r="E625">
        <v>21</v>
      </c>
      <c r="F625">
        <v>0</v>
      </c>
      <c r="G625">
        <v>0</v>
      </c>
      <c r="H625">
        <v>7.8541999999999996</v>
      </c>
      <c r="I625" t="s">
        <v>14</v>
      </c>
      <c r="J625" t="str">
        <f t="shared" si="27"/>
        <v>Adult</v>
      </c>
      <c r="K625" t="str">
        <f t="shared" si="28"/>
        <v>Low</v>
      </c>
      <c r="L625">
        <f t="shared" si="29"/>
        <v>1</v>
      </c>
    </row>
    <row r="626" spans="1:12">
      <c r="A626">
        <v>0</v>
      </c>
      <c r="B626">
        <v>3</v>
      </c>
      <c r="C626" t="s">
        <v>645</v>
      </c>
      <c r="D626" t="s">
        <v>13</v>
      </c>
      <c r="E626">
        <v>21</v>
      </c>
      <c r="F626">
        <v>0</v>
      </c>
      <c r="G626">
        <v>0</v>
      </c>
      <c r="H626">
        <v>16.100000000000001</v>
      </c>
      <c r="I626" t="s">
        <v>14</v>
      </c>
      <c r="J626" t="str">
        <f t="shared" si="27"/>
        <v>Adult</v>
      </c>
      <c r="K626" t="str">
        <f t="shared" si="28"/>
        <v>Low</v>
      </c>
      <c r="L626">
        <f t="shared" si="29"/>
        <v>1</v>
      </c>
    </row>
    <row r="627" spans="1:12">
      <c r="A627">
        <v>0</v>
      </c>
      <c r="B627">
        <v>1</v>
      </c>
      <c r="C627" t="s">
        <v>646</v>
      </c>
      <c r="D627" t="s">
        <v>13</v>
      </c>
      <c r="E627">
        <v>61</v>
      </c>
      <c r="F627">
        <v>0</v>
      </c>
      <c r="G627">
        <v>0</v>
      </c>
      <c r="H627">
        <v>32.320799999999998</v>
      </c>
      <c r="I627" t="s">
        <v>14</v>
      </c>
      <c r="J627" t="str">
        <f t="shared" si="27"/>
        <v>Adult</v>
      </c>
      <c r="K627" t="str">
        <f t="shared" si="28"/>
        <v>Low</v>
      </c>
      <c r="L627">
        <f t="shared" si="29"/>
        <v>1</v>
      </c>
    </row>
    <row r="628" spans="1:12">
      <c r="A628">
        <v>0</v>
      </c>
      <c r="B628">
        <v>2</v>
      </c>
      <c r="C628" t="s">
        <v>647</v>
      </c>
      <c r="D628" t="s">
        <v>13</v>
      </c>
      <c r="E628">
        <v>57</v>
      </c>
      <c r="F628">
        <v>0</v>
      </c>
      <c r="G628">
        <v>0</v>
      </c>
      <c r="H628">
        <v>12.35</v>
      </c>
      <c r="I628" t="s">
        <v>26</v>
      </c>
      <c r="J628" t="str">
        <f t="shared" si="27"/>
        <v>Adult</v>
      </c>
      <c r="K628" t="str">
        <f t="shared" si="28"/>
        <v>Low</v>
      </c>
      <c r="L628">
        <f t="shared" si="29"/>
        <v>1</v>
      </c>
    </row>
    <row r="629" spans="1:12">
      <c r="A629">
        <v>1</v>
      </c>
      <c r="B629">
        <v>1</v>
      </c>
      <c r="C629" t="s">
        <v>648</v>
      </c>
      <c r="D629" t="s">
        <v>17</v>
      </c>
      <c r="E629">
        <v>21</v>
      </c>
      <c r="F629">
        <v>0</v>
      </c>
      <c r="G629">
        <v>0</v>
      </c>
      <c r="H629">
        <v>77.958299999999994</v>
      </c>
      <c r="I629" t="s">
        <v>14</v>
      </c>
      <c r="J629" t="str">
        <f t="shared" si="27"/>
        <v>Adult</v>
      </c>
      <c r="K629" t="str">
        <f t="shared" si="28"/>
        <v>High</v>
      </c>
      <c r="L629">
        <f t="shared" si="29"/>
        <v>1</v>
      </c>
    </row>
    <row r="630" spans="1:12">
      <c r="A630">
        <v>0</v>
      </c>
      <c r="B630">
        <v>3</v>
      </c>
      <c r="C630" t="s">
        <v>649</v>
      </c>
      <c r="D630" t="s">
        <v>13</v>
      </c>
      <c r="E630">
        <v>26</v>
      </c>
      <c r="F630">
        <v>0</v>
      </c>
      <c r="G630">
        <v>0</v>
      </c>
      <c r="H630">
        <v>7.8958000000000004</v>
      </c>
      <c r="I630" t="s">
        <v>14</v>
      </c>
      <c r="J630" t="str">
        <f t="shared" si="27"/>
        <v>Adult</v>
      </c>
      <c r="K630" t="str">
        <f t="shared" si="28"/>
        <v>Low</v>
      </c>
      <c r="L630">
        <f t="shared" si="29"/>
        <v>1</v>
      </c>
    </row>
    <row r="631" spans="1:12">
      <c r="A631">
        <v>0</v>
      </c>
      <c r="B631">
        <v>3</v>
      </c>
      <c r="C631" t="s">
        <v>650</v>
      </c>
      <c r="D631" t="s">
        <v>13</v>
      </c>
      <c r="F631">
        <v>0</v>
      </c>
      <c r="G631">
        <v>0</v>
      </c>
      <c r="H631">
        <v>7.7332999999999998</v>
      </c>
      <c r="I631" t="s">
        <v>26</v>
      </c>
      <c r="J631" t="str">
        <f t="shared" si="27"/>
        <v>Child</v>
      </c>
      <c r="K631" t="str">
        <f t="shared" si="28"/>
        <v>Low</v>
      </c>
      <c r="L631">
        <f t="shared" si="29"/>
        <v>1</v>
      </c>
    </row>
    <row r="632" spans="1:12">
      <c r="A632">
        <v>1</v>
      </c>
      <c r="B632">
        <v>1</v>
      </c>
      <c r="C632" t="s">
        <v>651</v>
      </c>
      <c r="D632" t="s">
        <v>13</v>
      </c>
      <c r="E632">
        <v>80</v>
      </c>
      <c r="F632">
        <v>0</v>
      </c>
      <c r="G632">
        <v>0</v>
      </c>
      <c r="H632">
        <v>30</v>
      </c>
      <c r="I632" t="s">
        <v>14</v>
      </c>
      <c r="J632" t="str">
        <f t="shared" si="27"/>
        <v>Adult</v>
      </c>
      <c r="K632" t="str">
        <f t="shared" si="28"/>
        <v>Low</v>
      </c>
      <c r="L632">
        <f t="shared" si="29"/>
        <v>1</v>
      </c>
    </row>
    <row r="633" spans="1:12">
      <c r="A633">
        <v>0</v>
      </c>
      <c r="B633">
        <v>3</v>
      </c>
      <c r="C633" t="s">
        <v>652</v>
      </c>
      <c r="D633" t="s">
        <v>13</v>
      </c>
      <c r="E633">
        <v>51</v>
      </c>
      <c r="F633">
        <v>0</v>
      </c>
      <c r="G633">
        <v>0</v>
      </c>
      <c r="H633">
        <v>7.0541999999999998</v>
      </c>
      <c r="I633" t="s">
        <v>14</v>
      </c>
      <c r="J633" t="str">
        <f t="shared" si="27"/>
        <v>Adult</v>
      </c>
      <c r="K633" t="str">
        <f t="shared" si="28"/>
        <v>Low</v>
      </c>
      <c r="L633">
        <f t="shared" si="29"/>
        <v>1</v>
      </c>
    </row>
    <row r="634" spans="1:12">
      <c r="A634">
        <v>1</v>
      </c>
      <c r="B634">
        <v>1</v>
      </c>
      <c r="C634" t="s">
        <v>653</v>
      </c>
      <c r="D634" t="s">
        <v>13</v>
      </c>
      <c r="E634">
        <v>32</v>
      </c>
      <c r="F634">
        <v>0</v>
      </c>
      <c r="G634">
        <v>0</v>
      </c>
      <c r="H634">
        <v>30.5</v>
      </c>
      <c r="I634" t="s">
        <v>18</v>
      </c>
      <c r="J634" t="str">
        <f t="shared" si="27"/>
        <v>Adult</v>
      </c>
      <c r="K634" t="str">
        <f t="shared" si="28"/>
        <v>Low</v>
      </c>
      <c r="L634">
        <f t="shared" si="29"/>
        <v>1</v>
      </c>
    </row>
    <row r="635" spans="1:12">
      <c r="A635">
        <v>0</v>
      </c>
      <c r="B635">
        <v>1</v>
      </c>
      <c r="C635" t="s">
        <v>654</v>
      </c>
      <c r="D635" t="s">
        <v>13</v>
      </c>
      <c r="F635">
        <v>0</v>
      </c>
      <c r="G635">
        <v>0</v>
      </c>
      <c r="H635">
        <v>0</v>
      </c>
      <c r="I635" t="s">
        <v>14</v>
      </c>
      <c r="J635" t="str">
        <f t="shared" si="27"/>
        <v>Child</v>
      </c>
      <c r="K635" t="str">
        <f t="shared" si="28"/>
        <v>Low</v>
      </c>
      <c r="L635">
        <f t="shared" si="29"/>
        <v>1</v>
      </c>
    </row>
    <row r="636" spans="1:12">
      <c r="A636">
        <v>0</v>
      </c>
      <c r="B636">
        <v>3</v>
      </c>
      <c r="C636" t="s">
        <v>655</v>
      </c>
      <c r="D636" t="s">
        <v>17</v>
      </c>
      <c r="E636">
        <v>9</v>
      </c>
      <c r="F636">
        <v>3</v>
      </c>
      <c r="G636">
        <v>2</v>
      </c>
      <c r="H636">
        <v>27.9</v>
      </c>
      <c r="I636" t="s">
        <v>14</v>
      </c>
      <c r="J636" t="str">
        <f t="shared" si="27"/>
        <v>Child</v>
      </c>
      <c r="K636" t="str">
        <f t="shared" si="28"/>
        <v>Low</v>
      </c>
      <c r="L636">
        <f t="shared" si="29"/>
        <v>6</v>
      </c>
    </row>
    <row r="637" spans="1:12">
      <c r="A637">
        <v>1</v>
      </c>
      <c r="B637">
        <v>2</v>
      </c>
      <c r="C637" t="s">
        <v>656</v>
      </c>
      <c r="D637" t="s">
        <v>17</v>
      </c>
      <c r="E637">
        <v>28</v>
      </c>
      <c r="F637">
        <v>0</v>
      </c>
      <c r="G637">
        <v>0</v>
      </c>
      <c r="H637">
        <v>13</v>
      </c>
      <c r="I637" t="s">
        <v>14</v>
      </c>
      <c r="J637" t="str">
        <f t="shared" si="27"/>
        <v>Adult</v>
      </c>
      <c r="K637" t="str">
        <f t="shared" si="28"/>
        <v>Low</v>
      </c>
      <c r="L637">
        <f t="shared" si="29"/>
        <v>1</v>
      </c>
    </row>
    <row r="638" spans="1:12">
      <c r="A638">
        <v>0</v>
      </c>
      <c r="B638">
        <v>3</v>
      </c>
      <c r="C638" t="s">
        <v>657</v>
      </c>
      <c r="D638" t="s">
        <v>13</v>
      </c>
      <c r="E638">
        <v>32</v>
      </c>
      <c r="F638">
        <v>0</v>
      </c>
      <c r="G638">
        <v>0</v>
      </c>
      <c r="H638">
        <v>7.9249999999999998</v>
      </c>
      <c r="I638" t="s">
        <v>14</v>
      </c>
      <c r="J638" t="str">
        <f t="shared" si="27"/>
        <v>Adult</v>
      </c>
      <c r="K638" t="str">
        <f t="shared" si="28"/>
        <v>Low</v>
      </c>
      <c r="L638">
        <f t="shared" si="29"/>
        <v>1</v>
      </c>
    </row>
    <row r="639" spans="1:12">
      <c r="A639">
        <v>0</v>
      </c>
      <c r="B639">
        <v>2</v>
      </c>
      <c r="C639" t="s">
        <v>658</v>
      </c>
      <c r="D639" t="s">
        <v>13</v>
      </c>
      <c r="E639">
        <v>31</v>
      </c>
      <c r="F639">
        <v>1</v>
      </c>
      <c r="G639">
        <v>1</v>
      </c>
      <c r="H639">
        <v>26.25</v>
      </c>
      <c r="I639" t="s">
        <v>14</v>
      </c>
      <c r="J639" t="str">
        <f t="shared" si="27"/>
        <v>Adult</v>
      </c>
      <c r="K639" t="str">
        <f t="shared" si="28"/>
        <v>Low</v>
      </c>
      <c r="L639">
        <f t="shared" si="29"/>
        <v>3</v>
      </c>
    </row>
    <row r="640" spans="1:12">
      <c r="A640">
        <v>0</v>
      </c>
      <c r="B640">
        <v>3</v>
      </c>
      <c r="C640" t="s">
        <v>659</v>
      </c>
      <c r="D640" t="s">
        <v>17</v>
      </c>
      <c r="E640">
        <v>41</v>
      </c>
      <c r="F640">
        <v>0</v>
      </c>
      <c r="G640">
        <v>5</v>
      </c>
      <c r="H640">
        <v>39.6875</v>
      </c>
      <c r="I640" t="s">
        <v>14</v>
      </c>
      <c r="J640" t="str">
        <f t="shared" si="27"/>
        <v>Adult</v>
      </c>
      <c r="K640" t="str">
        <f t="shared" si="28"/>
        <v>Low</v>
      </c>
      <c r="L640">
        <f t="shared" si="29"/>
        <v>6</v>
      </c>
    </row>
    <row r="641" spans="1:12">
      <c r="A641">
        <v>0</v>
      </c>
      <c r="B641">
        <v>3</v>
      </c>
      <c r="C641" t="s">
        <v>660</v>
      </c>
      <c r="D641" t="s">
        <v>13</v>
      </c>
      <c r="F641">
        <v>1</v>
      </c>
      <c r="G641">
        <v>0</v>
      </c>
      <c r="H641">
        <v>16.100000000000001</v>
      </c>
      <c r="I641" t="s">
        <v>14</v>
      </c>
      <c r="J641" t="str">
        <f t="shared" si="27"/>
        <v>Child</v>
      </c>
      <c r="K641" t="str">
        <f t="shared" si="28"/>
        <v>Low</v>
      </c>
      <c r="L641">
        <f t="shared" si="29"/>
        <v>2</v>
      </c>
    </row>
    <row r="642" spans="1:12">
      <c r="A642">
        <v>0</v>
      </c>
      <c r="B642">
        <v>3</v>
      </c>
      <c r="C642" t="s">
        <v>661</v>
      </c>
      <c r="D642" t="s">
        <v>13</v>
      </c>
      <c r="E642">
        <v>20</v>
      </c>
      <c r="F642">
        <v>0</v>
      </c>
      <c r="G642">
        <v>0</v>
      </c>
      <c r="H642">
        <v>7.8541999999999996</v>
      </c>
      <c r="I642" t="s">
        <v>14</v>
      </c>
      <c r="J642" t="str">
        <f t="shared" si="27"/>
        <v>Adult</v>
      </c>
      <c r="K642" t="str">
        <f t="shared" si="28"/>
        <v>Low</v>
      </c>
      <c r="L642">
        <f t="shared" si="29"/>
        <v>1</v>
      </c>
    </row>
    <row r="643" spans="1:12">
      <c r="A643">
        <v>1</v>
      </c>
      <c r="B643">
        <v>1</v>
      </c>
      <c r="C643" t="s">
        <v>662</v>
      </c>
      <c r="D643" t="s">
        <v>17</v>
      </c>
      <c r="E643">
        <v>24</v>
      </c>
      <c r="F643">
        <v>0</v>
      </c>
      <c r="G643">
        <v>0</v>
      </c>
      <c r="H643">
        <v>69.3</v>
      </c>
      <c r="I643" t="s">
        <v>18</v>
      </c>
      <c r="J643" t="str">
        <f t="shared" ref="J643:J706" si="30">IF(E643&lt;18,"Child","Adult")</f>
        <v>Adult</v>
      </c>
      <c r="K643" t="str">
        <f t="shared" ref="K643:K706" si="31">IF(H643&gt;50,"High","Low")</f>
        <v>High</v>
      </c>
      <c r="L643">
        <f t="shared" ref="L643:L706" si="32">F643+G643+1</f>
        <v>1</v>
      </c>
    </row>
    <row r="644" spans="1:12">
      <c r="A644">
        <v>0</v>
      </c>
      <c r="B644">
        <v>3</v>
      </c>
      <c r="C644" t="s">
        <v>663</v>
      </c>
      <c r="D644" t="s">
        <v>17</v>
      </c>
      <c r="E644">
        <v>2</v>
      </c>
      <c r="F644">
        <v>3</v>
      </c>
      <c r="G644">
        <v>2</v>
      </c>
      <c r="H644">
        <v>27.9</v>
      </c>
      <c r="I644" t="s">
        <v>14</v>
      </c>
      <c r="J644" t="str">
        <f t="shared" si="30"/>
        <v>Child</v>
      </c>
      <c r="K644" t="str">
        <f t="shared" si="31"/>
        <v>Low</v>
      </c>
      <c r="L644">
        <f t="shared" si="32"/>
        <v>6</v>
      </c>
    </row>
    <row r="645" spans="1:12">
      <c r="A645">
        <v>1</v>
      </c>
      <c r="B645">
        <v>3</v>
      </c>
      <c r="C645" t="s">
        <v>664</v>
      </c>
      <c r="D645" t="s">
        <v>13</v>
      </c>
      <c r="F645">
        <v>0</v>
      </c>
      <c r="G645">
        <v>0</v>
      </c>
      <c r="H645">
        <v>56.495800000000003</v>
      </c>
      <c r="I645" t="s">
        <v>14</v>
      </c>
      <c r="J645" t="str">
        <f t="shared" si="30"/>
        <v>Child</v>
      </c>
      <c r="K645" t="str">
        <f t="shared" si="31"/>
        <v>High</v>
      </c>
      <c r="L645">
        <f t="shared" si="32"/>
        <v>1</v>
      </c>
    </row>
    <row r="646" spans="1:12">
      <c r="A646">
        <v>1</v>
      </c>
      <c r="B646">
        <v>3</v>
      </c>
      <c r="C646" t="s">
        <v>665</v>
      </c>
      <c r="D646" t="s">
        <v>17</v>
      </c>
      <c r="E646">
        <v>0.75</v>
      </c>
      <c r="F646">
        <v>2</v>
      </c>
      <c r="G646">
        <v>1</v>
      </c>
      <c r="H646">
        <v>19.258299999999998</v>
      </c>
      <c r="I646" t="s">
        <v>18</v>
      </c>
      <c r="J646" t="str">
        <f t="shared" si="30"/>
        <v>Child</v>
      </c>
      <c r="K646" t="str">
        <f t="shared" si="31"/>
        <v>Low</v>
      </c>
      <c r="L646">
        <f t="shared" si="32"/>
        <v>4</v>
      </c>
    </row>
    <row r="647" spans="1:12">
      <c r="A647">
        <v>1</v>
      </c>
      <c r="B647">
        <v>1</v>
      </c>
      <c r="C647" t="s">
        <v>666</v>
      </c>
      <c r="D647" t="s">
        <v>13</v>
      </c>
      <c r="E647">
        <v>48</v>
      </c>
      <c r="F647">
        <v>1</v>
      </c>
      <c r="G647">
        <v>0</v>
      </c>
      <c r="H647">
        <v>76.729200000000006</v>
      </c>
      <c r="I647" t="s">
        <v>18</v>
      </c>
      <c r="J647" t="str">
        <f t="shared" si="30"/>
        <v>Adult</v>
      </c>
      <c r="K647" t="str">
        <f t="shared" si="31"/>
        <v>High</v>
      </c>
      <c r="L647">
        <f t="shared" si="32"/>
        <v>2</v>
      </c>
    </row>
    <row r="648" spans="1:12">
      <c r="A648">
        <v>0</v>
      </c>
      <c r="B648">
        <v>3</v>
      </c>
      <c r="C648" t="s">
        <v>667</v>
      </c>
      <c r="D648" t="s">
        <v>13</v>
      </c>
      <c r="E648">
        <v>19</v>
      </c>
      <c r="F648">
        <v>0</v>
      </c>
      <c r="G648">
        <v>0</v>
      </c>
      <c r="H648">
        <v>7.8958000000000004</v>
      </c>
      <c r="I648" t="s">
        <v>14</v>
      </c>
      <c r="J648" t="str">
        <f t="shared" si="30"/>
        <v>Adult</v>
      </c>
      <c r="K648" t="str">
        <f t="shared" si="31"/>
        <v>Low</v>
      </c>
      <c r="L648">
        <f t="shared" si="32"/>
        <v>1</v>
      </c>
    </row>
    <row r="649" spans="1:12">
      <c r="A649">
        <v>1</v>
      </c>
      <c r="B649">
        <v>1</v>
      </c>
      <c r="C649" t="s">
        <v>668</v>
      </c>
      <c r="D649" t="s">
        <v>13</v>
      </c>
      <c r="E649">
        <v>56</v>
      </c>
      <c r="F649">
        <v>0</v>
      </c>
      <c r="G649">
        <v>0</v>
      </c>
      <c r="H649">
        <v>35.5</v>
      </c>
      <c r="I649" t="s">
        <v>18</v>
      </c>
      <c r="J649" t="str">
        <f t="shared" si="30"/>
        <v>Adult</v>
      </c>
      <c r="K649" t="str">
        <f t="shared" si="31"/>
        <v>Low</v>
      </c>
      <c r="L649">
        <f t="shared" si="32"/>
        <v>1</v>
      </c>
    </row>
    <row r="650" spans="1:12">
      <c r="A650">
        <v>0</v>
      </c>
      <c r="B650">
        <v>3</v>
      </c>
      <c r="C650" t="s">
        <v>669</v>
      </c>
      <c r="D650" t="s">
        <v>13</v>
      </c>
      <c r="F650">
        <v>0</v>
      </c>
      <c r="G650">
        <v>0</v>
      </c>
      <c r="H650">
        <v>7.55</v>
      </c>
      <c r="I650" t="s">
        <v>14</v>
      </c>
      <c r="J650" t="str">
        <f t="shared" si="30"/>
        <v>Child</v>
      </c>
      <c r="K650" t="str">
        <f t="shared" si="31"/>
        <v>Low</v>
      </c>
      <c r="L650">
        <f t="shared" si="32"/>
        <v>1</v>
      </c>
    </row>
    <row r="651" spans="1:12">
      <c r="A651">
        <v>1</v>
      </c>
      <c r="B651">
        <v>3</v>
      </c>
      <c r="C651" t="s">
        <v>670</v>
      </c>
      <c r="D651" t="s">
        <v>17</v>
      </c>
      <c r="E651">
        <v>23</v>
      </c>
      <c r="F651">
        <v>0</v>
      </c>
      <c r="G651">
        <v>0</v>
      </c>
      <c r="H651">
        <v>7.55</v>
      </c>
      <c r="I651" t="s">
        <v>14</v>
      </c>
      <c r="J651" t="str">
        <f t="shared" si="30"/>
        <v>Adult</v>
      </c>
      <c r="K651" t="str">
        <f t="shared" si="31"/>
        <v>Low</v>
      </c>
      <c r="L651">
        <f t="shared" si="32"/>
        <v>1</v>
      </c>
    </row>
    <row r="652" spans="1:12">
      <c r="A652">
        <v>0</v>
      </c>
      <c r="B652">
        <v>3</v>
      </c>
      <c r="C652" t="s">
        <v>671</v>
      </c>
      <c r="D652" t="s">
        <v>13</v>
      </c>
      <c r="F652">
        <v>0</v>
      </c>
      <c r="G652">
        <v>0</v>
      </c>
      <c r="H652">
        <v>7.8958000000000004</v>
      </c>
      <c r="I652" t="s">
        <v>14</v>
      </c>
      <c r="J652" t="str">
        <f t="shared" si="30"/>
        <v>Child</v>
      </c>
      <c r="K652" t="str">
        <f t="shared" si="31"/>
        <v>Low</v>
      </c>
      <c r="L652">
        <f t="shared" si="32"/>
        <v>1</v>
      </c>
    </row>
    <row r="653" spans="1:12">
      <c r="A653">
        <v>1</v>
      </c>
      <c r="B653">
        <v>2</v>
      </c>
      <c r="C653" t="s">
        <v>672</v>
      </c>
      <c r="D653" t="s">
        <v>17</v>
      </c>
      <c r="E653">
        <v>18</v>
      </c>
      <c r="F653">
        <v>0</v>
      </c>
      <c r="G653">
        <v>1</v>
      </c>
      <c r="H653">
        <v>23</v>
      </c>
      <c r="I653" t="s">
        <v>14</v>
      </c>
      <c r="J653" t="str">
        <f t="shared" si="30"/>
        <v>Adult</v>
      </c>
      <c r="K653" t="str">
        <f t="shared" si="31"/>
        <v>Low</v>
      </c>
      <c r="L653">
        <f t="shared" si="32"/>
        <v>2</v>
      </c>
    </row>
    <row r="654" spans="1:12">
      <c r="A654">
        <v>0</v>
      </c>
      <c r="B654">
        <v>3</v>
      </c>
      <c r="C654" t="s">
        <v>673</v>
      </c>
      <c r="D654" t="s">
        <v>13</v>
      </c>
      <c r="E654">
        <v>21</v>
      </c>
      <c r="F654">
        <v>0</v>
      </c>
      <c r="G654">
        <v>0</v>
      </c>
      <c r="H654">
        <v>8.4332999999999991</v>
      </c>
      <c r="I654" t="s">
        <v>14</v>
      </c>
      <c r="J654" t="str">
        <f t="shared" si="30"/>
        <v>Adult</v>
      </c>
      <c r="K654" t="str">
        <f t="shared" si="31"/>
        <v>Low</v>
      </c>
      <c r="L654">
        <f t="shared" si="32"/>
        <v>1</v>
      </c>
    </row>
    <row r="655" spans="1:12">
      <c r="A655">
        <v>1</v>
      </c>
      <c r="B655">
        <v>3</v>
      </c>
      <c r="C655" t="s">
        <v>674</v>
      </c>
      <c r="D655" t="s">
        <v>17</v>
      </c>
      <c r="F655">
        <v>0</v>
      </c>
      <c r="G655">
        <v>0</v>
      </c>
      <c r="H655">
        <v>7.8292000000000002</v>
      </c>
      <c r="I655" t="s">
        <v>26</v>
      </c>
      <c r="J655" t="str">
        <f t="shared" si="30"/>
        <v>Child</v>
      </c>
      <c r="K655" t="str">
        <f t="shared" si="31"/>
        <v>Low</v>
      </c>
      <c r="L655">
        <f t="shared" si="32"/>
        <v>1</v>
      </c>
    </row>
    <row r="656" spans="1:12">
      <c r="A656">
        <v>0</v>
      </c>
      <c r="B656">
        <v>3</v>
      </c>
      <c r="C656" t="s">
        <v>675</v>
      </c>
      <c r="D656" t="s">
        <v>17</v>
      </c>
      <c r="E656">
        <v>18</v>
      </c>
      <c r="F656">
        <v>0</v>
      </c>
      <c r="G656">
        <v>0</v>
      </c>
      <c r="H656">
        <v>6.75</v>
      </c>
      <c r="I656" t="s">
        <v>26</v>
      </c>
      <c r="J656" t="str">
        <f t="shared" si="30"/>
        <v>Adult</v>
      </c>
      <c r="K656" t="str">
        <f t="shared" si="31"/>
        <v>Low</v>
      </c>
      <c r="L656">
        <f t="shared" si="32"/>
        <v>1</v>
      </c>
    </row>
    <row r="657" spans="1:12">
      <c r="A657">
        <v>0</v>
      </c>
      <c r="B657">
        <v>2</v>
      </c>
      <c r="C657" t="s">
        <v>676</v>
      </c>
      <c r="D657" t="s">
        <v>13</v>
      </c>
      <c r="E657">
        <v>24</v>
      </c>
      <c r="F657">
        <v>2</v>
      </c>
      <c r="G657">
        <v>0</v>
      </c>
      <c r="H657">
        <v>73.5</v>
      </c>
      <c r="I657" t="s">
        <v>14</v>
      </c>
      <c r="J657" t="str">
        <f t="shared" si="30"/>
        <v>Adult</v>
      </c>
      <c r="K657" t="str">
        <f t="shared" si="31"/>
        <v>High</v>
      </c>
      <c r="L657">
        <f t="shared" si="32"/>
        <v>3</v>
      </c>
    </row>
    <row r="658" spans="1:12">
      <c r="A658">
        <v>0</v>
      </c>
      <c r="B658">
        <v>3</v>
      </c>
      <c r="C658" t="s">
        <v>677</v>
      </c>
      <c r="D658" t="s">
        <v>13</v>
      </c>
      <c r="F658">
        <v>0</v>
      </c>
      <c r="G658">
        <v>0</v>
      </c>
      <c r="H658">
        <v>7.8958000000000004</v>
      </c>
      <c r="I658" t="s">
        <v>14</v>
      </c>
      <c r="J658" t="str">
        <f t="shared" si="30"/>
        <v>Child</v>
      </c>
      <c r="K658" t="str">
        <f t="shared" si="31"/>
        <v>Low</v>
      </c>
      <c r="L658">
        <f t="shared" si="32"/>
        <v>1</v>
      </c>
    </row>
    <row r="659" spans="1:12">
      <c r="A659">
        <v>0</v>
      </c>
      <c r="B659">
        <v>3</v>
      </c>
      <c r="C659" t="s">
        <v>678</v>
      </c>
      <c r="D659" t="s">
        <v>17</v>
      </c>
      <c r="E659">
        <v>32</v>
      </c>
      <c r="F659">
        <v>1</v>
      </c>
      <c r="G659">
        <v>1</v>
      </c>
      <c r="H659">
        <v>15.5</v>
      </c>
      <c r="I659" t="s">
        <v>26</v>
      </c>
      <c r="J659" t="str">
        <f t="shared" si="30"/>
        <v>Adult</v>
      </c>
      <c r="K659" t="str">
        <f t="shared" si="31"/>
        <v>Low</v>
      </c>
      <c r="L659">
        <f t="shared" si="32"/>
        <v>3</v>
      </c>
    </row>
    <row r="660" spans="1:12">
      <c r="A660">
        <v>0</v>
      </c>
      <c r="B660">
        <v>2</v>
      </c>
      <c r="C660" t="s">
        <v>679</v>
      </c>
      <c r="D660" t="s">
        <v>13</v>
      </c>
      <c r="E660">
        <v>23</v>
      </c>
      <c r="F660">
        <v>0</v>
      </c>
      <c r="G660">
        <v>0</v>
      </c>
      <c r="H660">
        <v>13</v>
      </c>
      <c r="I660" t="s">
        <v>14</v>
      </c>
      <c r="J660" t="str">
        <f t="shared" si="30"/>
        <v>Adult</v>
      </c>
      <c r="K660" t="str">
        <f t="shared" si="31"/>
        <v>Low</v>
      </c>
      <c r="L660">
        <f t="shared" si="32"/>
        <v>1</v>
      </c>
    </row>
    <row r="661" spans="1:12">
      <c r="A661">
        <v>0</v>
      </c>
      <c r="B661">
        <v>1</v>
      </c>
      <c r="C661" t="s">
        <v>680</v>
      </c>
      <c r="D661" t="s">
        <v>13</v>
      </c>
      <c r="E661">
        <v>58</v>
      </c>
      <c r="F661">
        <v>0</v>
      </c>
      <c r="G661">
        <v>2</v>
      </c>
      <c r="H661">
        <v>113.27500000000001</v>
      </c>
      <c r="I661" t="s">
        <v>18</v>
      </c>
      <c r="J661" t="str">
        <f t="shared" si="30"/>
        <v>Adult</v>
      </c>
      <c r="K661" t="str">
        <f t="shared" si="31"/>
        <v>High</v>
      </c>
      <c r="L661">
        <f t="shared" si="32"/>
        <v>3</v>
      </c>
    </row>
    <row r="662" spans="1:12">
      <c r="A662">
        <v>1</v>
      </c>
      <c r="B662">
        <v>1</v>
      </c>
      <c r="C662" t="s">
        <v>681</v>
      </c>
      <c r="D662" t="s">
        <v>13</v>
      </c>
      <c r="E662">
        <v>50</v>
      </c>
      <c r="F662">
        <v>2</v>
      </c>
      <c r="G662">
        <v>0</v>
      </c>
      <c r="H662">
        <v>133.65</v>
      </c>
      <c r="I662" t="s">
        <v>14</v>
      </c>
      <c r="J662" t="str">
        <f t="shared" si="30"/>
        <v>Adult</v>
      </c>
      <c r="K662" t="str">
        <f t="shared" si="31"/>
        <v>High</v>
      </c>
      <c r="L662">
        <f t="shared" si="32"/>
        <v>3</v>
      </c>
    </row>
    <row r="663" spans="1:12">
      <c r="A663">
        <v>0</v>
      </c>
      <c r="B663">
        <v>3</v>
      </c>
      <c r="C663" t="s">
        <v>682</v>
      </c>
      <c r="D663" t="s">
        <v>13</v>
      </c>
      <c r="E663">
        <v>40</v>
      </c>
      <c r="F663">
        <v>0</v>
      </c>
      <c r="G663">
        <v>0</v>
      </c>
      <c r="H663">
        <v>7.2249999999999996</v>
      </c>
      <c r="I663" t="s">
        <v>18</v>
      </c>
      <c r="J663" t="str">
        <f t="shared" si="30"/>
        <v>Adult</v>
      </c>
      <c r="K663" t="str">
        <f t="shared" si="31"/>
        <v>Low</v>
      </c>
      <c r="L663">
        <f t="shared" si="32"/>
        <v>1</v>
      </c>
    </row>
    <row r="664" spans="1:12">
      <c r="A664">
        <v>0</v>
      </c>
      <c r="B664">
        <v>1</v>
      </c>
      <c r="C664" t="s">
        <v>683</v>
      </c>
      <c r="D664" t="s">
        <v>13</v>
      </c>
      <c r="E664">
        <v>47</v>
      </c>
      <c r="F664">
        <v>0</v>
      </c>
      <c r="G664">
        <v>0</v>
      </c>
      <c r="H664">
        <v>25.587499999999999</v>
      </c>
      <c r="I664" t="s">
        <v>14</v>
      </c>
      <c r="J664" t="str">
        <f t="shared" si="30"/>
        <v>Adult</v>
      </c>
      <c r="K664" t="str">
        <f t="shared" si="31"/>
        <v>Low</v>
      </c>
      <c r="L664">
        <f t="shared" si="32"/>
        <v>1</v>
      </c>
    </row>
    <row r="665" spans="1:12">
      <c r="A665">
        <v>0</v>
      </c>
      <c r="B665">
        <v>3</v>
      </c>
      <c r="C665" t="s">
        <v>684</v>
      </c>
      <c r="D665" t="s">
        <v>13</v>
      </c>
      <c r="E665">
        <v>36</v>
      </c>
      <c r="F665">
        <v>0</v>
      </c>
      <c r="G665">
        <v>0</v>
      </c>
      <c r="H665">
        <v>7.4958</v>
      </c>
      <c r="I665" t="s">
        <v>14</v>
      </c>
      <c r="J665" t="str">
        <f t="shared" si="30"/>
        <v>Adult</v>
      </c>
      <c r="K665" t="str">
        <f t="shared" si="31"/>
        <v>Low</v>
      </c>
      <c r="L665">
        <f t="shared" si="32"/>
        <v>1</v>
      </c>
    </row>
    <row r="666" spans="1:12">
      <c r="A666">
        <v>1</v>
      </c>
      <c r="B666">
        <v>3</v>
      </c>
      <c r="C666" t="s">
        <v>685</v>
      </c>
      <c r="D666" t="s">
        <v>13</v>
      </c>
      <c r="E666">
        <v>20</v>
      </c>
      <c r="F666">
        <v>1</v>
      </c>
      <c r="G666">
        <v>0</v>
      </c>
      <c r="H666">
        <v>7.9249999999999998</v>
      </c>
      <c r="I666" t="s">
        <v>14</v>
      </c>
      <c r="J666" t="str">
        <f t="shared" si="30"/>
        <v>Adult</v>
      </c>
      <c r="K666" t="str">
        <f t="shared" si="31"/>
        <v>Low</v>
      </c>
      <c r="L666">
        <f t="shared" si="32"/>
        <v>2</v>
      </c>
    </row>
    <row r="667" spans="1:12">
      <c r="A667">
        <v>0</v>
      </c>
      <c r="B667">
        <v>2</v>
      </c>
      <c r="C667" t="s">
        <v>686</v>
      </c>
      <c r="D667" t="s">
        <v>13</v>
      </c>
      <c r="E667">
        <v>32</v>
      </c>
      <c r="F667">
        <v>2</v>
      </c>
      <c r="G667">
        <v>0</v>
      </c>
      <c r="H667">
        <v>73.5</v>
      </c>
      <c r="I667" t="s">
        <v>14</v>
      </c>
      <c r="J667" t="str">
        <f t="shared" si="30"/>
        <v>Adult</v>
      </c>
      <c r="K667" t="str">
        <f t="shared" si="31"/>
        <v>High</v>
      </c>
      <c r="L667">
        <f t="shared" si="32"/>
        <v>3</v>
      </c>
    </row>
    <row r="668" spans="1:12">
      <c r="A668">
        <v>0</v>
      </c>
      <c r="B668">
        <v>2</v>
      </c>
      <c r="C668" t="s">
        <v>687</v>
      </c>
      <c r="D668" t="s">
        <v>13</v>
      </c>
      <c r="E668">
        <v>25</v>
      </c>
      <c r="F668">
        <v>0</v>
      </c>
      <c r="G668">
        <v>0</v>
      </c>
      <c r="H668">
        <v>13</v>
      </c>
      <c r="I668" t="s">
        <v>14</v>
      </c>
      <c r="J668" t="str">
        <f t="shared" si="30"/>
        <v>Adult</v>
      </c>
      <c r="K668" t="str">
        <f t="shared" si="31"/>
        <v>Low</v>
      </c>
      <c r="L668">
        <f t="shared" si="32"/>
        <v>1</v>
      </c>
    </row>
    <row r="669" spans="1:12">
      <c r="A669">
        <v>0</v>
      </c>
      <c r="B669">
        <v>3</v>
      </c>
      <c r="C669" t="s">
        <v>688</v>
      </c>
      <c r="D669" t="s">
        <v>13</v>
      </c>
      <c r="F669">
        <v>0</v>
      </c>
      <c r="G669">
        <v>0</v>
      </c>
      <c r="H669">
        <v>7.7750000000000004</v>
      </c>
      <c r="I669" t="s">
        <v>14</v>
      </c>
      <c r="J669" t="str">
        <f t="shared" si="30"/>
        <v>Child</v>
      </c>
      <c r="K669" t="str">
        <f t="shared" si="31"/>
        <v>Low</v>
      </c>
      <c r="L669">
        <f t="shared" si="32"/>
        <v>1</v>
      </c>
    </row>
    <row r="670" spans="1:12">
      <c r="A670">
        <v>0</v>
      </c>
      <c r="B670">
        <v>3</v>
      </c>
      <c r="C670" t="s">
        <v>689</v>
      </c>
      <c r="D670" t="s">
        <v>13</v>
      </c>
      <c r="E670">
        <v>43</v>
      </c>
      <c r="F670">
        <v>0</v>
      </c>
      <c r="G670">
        <v>0</v>
      </c>
      <c r="H670">
        <v>8.0500000000000007</v>
      </c>
      <c r="I670" t="s">
        <v>14</v>
      </c>
      <c r="J670" t="str">
        <f t="shared" si="30"/>
        <v>Adult</v>
      </c>
      <c r="K670" t="str">
        <f t="shared" si="31"/>
        <v>Low</v>
      </c>
      <c r="L670">
        <f t="shared" si="32"/>
        <v>1</v>
      </c>
    </row>
    <row r="671" spans="1:12">
      <c r="A671">
        <v>1</v>
      </c>
      <c r="B671">
        <v>1</v>
      </c>
      <c r="C671" t="s">
        <v>690</v>
      </c>
      <c r="D671" t="s">
        <v>17</v>
      </c>
      <c r="F671">
        <v>1</v>
      </c>
      <c r="G671">
        <v>0</v>
      </c>
      <c r="H671">
        <v>52</v>
      </c>
      <c r="I671" t="s">
        <v>14</v>
      </c>
      <c r="J671" t="str">
        <f t="shared" si="30"/>
        <v>Child</v>
      </c>
      <c r="K671" t="str">
        <f t="shared" si="31"/>
        <v>High</v>
      </c>
      <c r="L671">
        <f t="shared" si="32"/>
        <v>2</v>
      </c>
    </row>
    <row r="672" spans="1:12">
      <c r="A672">
        <v>1</v>
      </c>
      <c r="B672">
        <v>2</v>
      </c>
      <c r="C672" t="s">
        <v>691</v>
      </c>
      <c r="D672" t="s">
        <v>17</v>
      </c>
      <c r="E672">
        <v>40</v>
      </c>
      <c r="F672">
        <v>1</v>
      </c>
      <c r="G672">
        <v>1</v>
      </c>
      <c r="H672">
        <v>39</v>
      </c>
      <c r="I672" t="s">
        <v>14</v>
      </c>
      <c r="J672" t="str">
        <f t="shared" si="30"/>
        <v>Adult</v>
      </c>
      <c r="K672" t="str">
        <f t="shared" si="31"/>
        <v>Low</v>
      </c>
      <c r="L672">
        <f t="shared" si="32"/>
        <v>3</v>
      </c>
    </row>
    <row r="673" spans="1:12">
      <c r="A673">
        <v>0</v>
      </c>
      <c r="B673">
        <v>1</v>
      </c>
      <c r="C673" t="s">
        <v>692</v>
      </c>
      <c r="D673" t="s">
        <v>13</v>
      </c>
      <c r="E673">
        <v>31</v>
      </c>
      <c r="F673">
        <v>1</v>
      </c>
      <c r="G673">
        <v>0</v>
      </c>
      <c r="H673">
        <v>52</v>
      </c>
      <c r="I673" t="s">
        <v>14</v>
      </c>
      <c r="J673" t="str">
        <f t="shared" si="30"/>
        <v>Adult</v>
      </c>
      <c r="K673" t="str">
        <f t="shared" si="31"/>
        <v>High</v>
      </c>
      <c r="L673">
        <f t="shared" si="32"/>
        <v>2</v>
      </c>
    </row>
    <row r="674" spans="1:12">
      <c r="A674">
        <v>0</v>
      </c>
      <c r="B674">
        <v>2</v>
      </c>
      <c r="C674" t="s">
        <v>693</v>
      </c>
      <c r="D674" t="s">
        <v>13</v>
      </c>
      <c r="E674">
        <v>70</v>
      </c>
      <c r="F674">
        <v>0</v>
      </c>
      <c r="G674">
        <v>0</v>
      </c>
      <c r="H674">
        <v>10.5</v>
      </c>
      <c r="I674" t="s">
        <v>14</v>
      </c>
      <c r="J674" t="str">
        <f t="shared" si="30"/>
        <v>Adult</v>
      </c>
      <c r="K674" t="str">
        <f t="shared" si="31"/>
        <v>Low</v>
      </c>
      <c r="L674">
        <f t="shared" si="32"/>
        <v>1</v>
      </c>
    </row>
    <row r="675" spans="1:12">
      <c r="A675">
        <v>1</v>
      </c>
      <c r="B675">
        <v>2</v>
      </c>
      <c r="C675" t="s">
        <v>694</v>
      </c>
      <c r="D675" t="s">
        <v>13</v>
      </c>
      <c r="E675">
        <v>31</v>
      </c>
      <c r="F675">
        <v>0</v>
      </c>
      <c r="G675">
        <v>0</v>
      </c>
      <c r="H675">
        <v>13</v>
      </c>
      <c r="I675" t="s">
        <v>14</v>
      </c>
      <c r="J675" t="str">
        <f t="shared" si="30"/>
        <v>Adult</v>
      </c>
      <c r="K675" t="str">
        <f t="shared" si="31"/>
        <v>Low</v>
      </c>
      <c r="L675">
        <f t="shared" si="32"/>
        <v>1</v>
      </c>
    </row>
    <row r="676" spans="1:12">
      <c r="A676">
        <v>0</v>
      </c>
      <c r="B676">
        <v>2</v>
      </c>
      <c r="C676" t="s">
        <v>695</v>
      </c>
      <c r="D676" t="s">
        <v>13</v>
      </c>
      <c r="F676">
        <v>0</v>
      </c>
      <c r="G676">
        <v>0</v>
      </c>
      <c r="H676">
        <v>0</v>
      </c>
      <c r="I676" t="s">
        <v>14</v>
      </c>
      <c r="J676" t="str">
        <f t="shared" si="30"/>
        <v>Child</v>
      </c>
      <c r="K676" t="str">
        <f t="shared" si="31"/>
        <v>Low</v>
      </c>
      <c r="L676">
        <f t="shared" si="32"/>
        <v>1</v>
      </c>
    </row>
    <row r="677" spans="1:12">
      <c r="A677">
        <v>0</v>
      </c>
      <c r="B677">
        <v>3</v>
      </c>
      <c r="C677" t="s">
        <v>696</v>
      </c>
      <c r="D677" t="s">
        <v>13</v>
      </c>
      <c r="E677">
        <v>18</v>
      </c>
      <c r="F677">
        <v>0</v>
      </c>
      <c r="G677">
        <v>0</v>
      </c>
      <c r="H677">
        <v>7.7750000000000004</v>
      </c>
      <c r="I677" t="s">
        <v>14</v>
      </c>
      <c r="J677" t="str">
        <f t="shared" si="30"/>
        <v>Adult</v>
      </c>
      <c r="K677" t="str">
        <f t="shared" si="31"/>
        <v>Low</v>
      </c>
      <c r="L677">
        <f t="shared" si="32"/>
        <v>1</v>
      </c>
    </row>
    <row r="678" spans="1:12">
      <c r="A678">
        <v>0</v>
      </c>
      <c r="B678">
        <v>3</v>
      </c>
      <c r="C678" t="s">
        <v>697</v>
      </c>
      <c r="D678" t="s">
        <v>13</v>
      </c>
      <c r="E678">
        <v>24.5</v>
      </c>
      <c r="F678">
        <v>0</v>
      </c>
      <c r="G678">
        <v>0</v>
      </c>
      <c r="H678">
        <v>8.0500000000000007</v>
      </c>
      <c r="I678" t="s">
        <v>14</v>
      </c>
      <c r="J678" t="str">
        <f t="shared" si="30"/>
        <v>Adult</v>
      </c>
      <c r="K678" t="str">
        <f t="shared" si="31"/>
        <v>Low</v>
      </c>
      <c r="L678">
        <f t="shared" si="32"/>
        <v>1</v>
      </c>
    </row>
    <row r="679" spans="1:12">
      <c r="A679">
        <v>1</v>
      </c>
      <c r="B679">
        <v>3</v>
      </c>
      <c r="C679" t="s">
        <v>698</v>
      </c>
      <c r="D679" t="s">
        <v>17</v>
      </c>
      <c r="E679">
        <v>18</v>
      </c>
      <c r="F679">
        <v>0</v>
      </c>
      <c r="G679">
        <v>0</v>
      </c>
      <c r="H679">
        <v>9.8416999999999994</v>
      </c>
      <c r="I679" t="s">
        <v>14</v>
      </c>
      <c r="J679" t="str">
        <f t="shared" si="30"/>
        <v>Adult</v>
      </c>
      <c r="K679" t="str">
        <f t="shared" si="31"/>
        <v>Low</v>
      </c>
      <c r="L679">
        <f t="shared" si="32"/>
        <v>1</v>
      </c>
    </row>
    <row r="680" spans="1:12">
      <c r="A680">
        <v>0</v>
      </c>
      <c r="B680">
        <v>3</v>
      </c>
      <c r="C680" t="s">
        <v>699</v>
      </c>
      <c r="D680" t="s">
        <v>17</v>
      </c>
      <c r="E680">
        <v>43</v>
      </c>
      <c r="F680">
        <v>1</v>
      </c>
      <c r="G680">
        <v>6</v>
      </c>
      <c r="H680">
        <v>46.9</v>
      </c>
      <c r="I680" t="s">
        <v>14</v>
      </c>
      <c r="J680" t="str">
        <f t="shared" si="30"/>
        <v>Adult</v>
      </c>
      <c r="K680" t="str">
        <f t="shared" si="31"/>
        <v>Low</v>
      </c>
      <c r="L680">
        <f t="shared" si="32"/>
        <v>8</v>
      </c>
    </row>
    <row r="681" spans="1:12">
      <c r="A681">
        <v>1</v>
      </c>
      <c r="B681">
        <v>1</v>
      </c>
      <c r="C681" t="s">
        <v>700</v>
      </c>
      <c r="D681" t="s">
        <v>13</v>
      </c>
      <c r="E681">
        <v>36</v>
      </c>
      <c r="F681">
        <v>0</v>
      </c>
      <c r="G681">
        <v>1</v>
      </c>
      <c r="H681">
        <v>512.32920000000001</v>
      </c>
      <c r="I681" t="s">
        <v>18</v>
      </c>
      <c r="J681" t="str">
        <f t="shared" si="30"/>
        <v>Adult</v>
      </c>
      <c r="K681" t="str">
        <f t="shared" si="31"/>
        <v>High</v>
      </c>
      <c r="L681">
        <f t="shared" si="32"/>
        <v>2</v>
      </c>
    </row>
    <row r="682" spans="1:12">
      <c r="A682">
        <v>0</v>
      </c>
      <c r="B682">
        <v>3</v>
      </c>
      <c r="C682" t="s">
        <v>701</v>
      </c>
      <c r="D682" t="s">
        <v>17</v>
      </c>
      <c r="F682">
        <v>0</v>
      </c>
      <c r="G682">
        <v>0</v>
      </c>
      <c r="H682">
        <v>8.1374999999999993</v>
      </c>
      <c r="I682" t="s">
        <v>26</v>
      </c>
      <c r="J682" t="str">
        <f t="shared" si="30"/>
        <v>Child</v>
      </c>
      <c r="K682" t="str">
        <f t="shared" si="31"/>
        <v>Low</v>
      </c>
      <c r="L682">
        <f t="shared" si="32"/>
        <v>1</v>
      </c>
    </row>
    <row r="683" spans="1:12">
      <c r="A683">
        <v>1</v>
      </c>
      <c r="B683">
        <v>1</v>
      </c>
      <c r="C683" t="s">
        <v>702</v>
      </c>
      <c r="D683" t="s">
        <v>13</v>
      </c>
      <c r="E683">
        <v>27</v>
      </c>
      <c r="F683">
        <v>0</v>
      </c>
      <c r="G683">
        <v>0</v>
      </c>
      <c r="H683">
        <v>76.729200000000006</v>
      </c>
      <c r="I683" t="s">
        <v>18</v>
      </c>
      <c r="J683" t="str">
        <f t="shared" si="30"/>
        <v>Adult</v>
      </c>
      <c r="K683" t="str">
        <f t="shared" si="31"/>
        <v>High</v>
      </c>
      <c r="L683">
        <f t="shared" si="32"/>
        <v>1</v>
      </c>
    </row>
    <row r="684" spans="1:12">
      <c r="A684">
        <v>0</v>
      </c>
      <c r="B684">
        <v>3</v>
      </c>
      <c r="C684" t="s">
        <v>703</v>
      </c>
      <c r="D684" t="s">
        <v>13</v>
      </c>
      <c r="E684">
        <v>20</v>
      </c>
      <c r="F684">
        <v>0</v>
      </c>
      <c r="G684">
        <v>0</v>
      </c>
      <c r="H684">
        <v>9.2249999999999996</v>
      </c>
      <c r="I684" t="s">
        <v>14</v>
      </c>
      <c r="J684" t="str">
        <f t="shared" si="30"/>
        <v>Adult</v>
      </c>
      <c r="K684" t="str">
        <f t="shared" si="31"/>
        <v>Low</v>
      </c>
      <c r="L684">
        <f t="shared" si="32"/>
        <v>1</v>
      </c>
    </row>
    <row r="685" spans="1:12">
      <c r="A685">
        <v>0</v>
      </c>
      <c r="B685">
        <v>3</v>
      </c>
      <c r="C685" t="s">
        <v>704</v>
      </c>
      <c r="D685" t="s">
        <v>13</v>
      </c>
      <c r="E685">
        <v>14</v>
      </c>
      <c r="F685">
        <v>5</v>
      </c>
      <c r="G685">
        <v>2</v>
      </c>
      <c r="H685">
        <v>46.9</v>
      </c>
      <c r="I685" t="s">
        <v>14</v>
      </c>
      <c r="J685" t="str">
        <f t="shared" si="30"/>
        <v>Child</v>
      </c>
      <c r="K685" t="str">
        <f t="shared" si="31"/>
        <v>Low</v>
      </c>
      <c r="L685">
        <f t="shared" si="32"/>
        <v>8</v>
      </c>
    </row>
    <row r="686" spans="1:12">
      <c r="A686">
        <v>0</v>
      </c>
      <c r="B686">
        <v>2</v>
      </c>
      <c r="C686" t="s">
        <v>705</v>
      </c>
      <c r="D686" t="s">
        <v>13</v>
      </c>
      <c r="E686">
        <v>60</v>
      </c>
      <c r="F686">
        <v>1</v>
      </c>
      <c r="G686">
        <v>1</v>
      </c>
      <c r="H686">
        <v>39</v>
      </c>
      <c r="I686" t="s">
        <v>14</v>
      </c>
      <c r="J686" t="str">
        <f t="shared" si="30"/>
        <v>Adult</v>
      </c>
      <c r="K686" t="str">
        <f t="shared" si="31"/>
        <v>Low</v>
      </c>
      <c r="L686">
        <f t="shared" si="32"/>
        <v>3</v>
      </c>
    </row>
    <row r="687" spans="1:12">
      <c r="A687">
        <v>0</v>
      </c>
      <c r="B687">
        <v>2</v>
      </c>
      <c r="C687" t="s">
        <v>706</v>
      </c>
      <c r="D687" t="s">
        <v>13</v>
      </c>
      <c r="E687">
        <v>25</v>
      </c>
      <c r="F687">
        <v>1</v>
      </c>
      <c r="G687">
        <v>2</v>
      </c>
      <c r="H687">
        <v>41.5792</v>
      </c>
      <c r="I687" t="s">
        <v>18</v>
      </c>
      <c r="J687" t="str">
        <f t="shared" si="30"/>
        <v>Adult</v>
      </c>
      <c r="K687" t="str">
        <f t="shared" si="31"/>
        <v>Low</v>
      </c>
      <c r="L687">
        <f t="shared" si="32"/>
        <v>4</v>
      </c>
    </row>
    <row r="688" spans="1:12">
      <c r="A688">
        <v>0</v>
      </c>
      <c r="B688">
        <v>3</v>
      </c>
      <c r="C688" t="s">
        <v>707</v>
      </c>
      <c r="D688" t="s">
        <v>13</v>
      </c>
      <c r="E688">
        <v>14</v>
      </c>
      <c r="F688">
        <v>4</v>
      </c>
      <c r="G688">
        <v>1</v>
      </c>
      <c r="H688">
        <v>39.6875</v>
      </c>
      <c r="I688" t="s">
        <v>14</v>
      </c>
      <c r="J688" t="str">
        <f t="shared" si="30"/>
        <v>Child</v>
      </c>
      <c r="K688" t="str">
        <f t="shared" si="31"/>
        <v>Low</v>
      </c>
      <c r="L688">
        <f t="shared" si="32"/>
        <v>6</v>
      </c>
    </row>
    <row r="689" spans="1:12">
      <c r="A689">
        <v>0</v>
      </c>
      <c r="B689">
        <v>3</v>
      </c>
      <c r="C689" t="s">
        <v>708</v>
      </c>
      <c r="D689" t="s">
        <v>13</v>
      </c>
      <c r="E689">
        <v>19</v>
      </c>
      <c r="F689">
        <v>0</v>
      </c>
      <c r="G689">
        <v>0</v>
      </c>
      <c r="H689">
        <v>10.1708</v>
      </c>
      <c r="I689" t="s">
        <v>14</v>
      </c>
      <c r="J689" t="str">
        <f t="shared" si="30"/>
        <v>Adult</v>
      </c>
      <c r="K689" t="str">
        <f t="shared" si="31"/>
        <v>Low</v>
      </c>
      <c r="L689">
        <f t="shared" si="32"/>
        <v>1</v>
      </c>
    </row>
    <row r="690" spans="1:12">
      <c r="A690">
        <v>0</v>
      </c>
      <c r="B690">
        <v>3</v>
      </c>
      <c r="C690" t="s">
        <v>709</v>
      </c>
      <c r="D690" t="s">
        <v>13</v>
      </c>
      <c r="E690">
        <v>18</v>
      </c>
      <c r="F690">
        <v>0</v>
      </c>
      <c r="G690">
        <v>0</v>
      </c>
      <c r="H690">
        <v>7.7957999999999998</v>
      </c>
      <c r="I690" t="s">
        <v>14</v>
      </c>
      <c r="J690" t="str">
        <f t="shared" si="30"/>
        <v>Adult</v>
      </c>
      <c r="K690" t="str">
        <f t="shared" si="31"/>
        <v>Low</v>
      </c>
      <c r="L690">
        <f t="shared" si="32"/>
        <v>1</v>
      </c>
    </row>
    <row r="691" spans="1:12">
      <c r="A691">
        <v>1</v>
      </c>
      <c r="B691">
        <v>1</v>
      </c>
      <c r="C691" t="s">
        <v>710</v>
      </c>
      <c r="D691" t="s">
        <v>17</v>
      </c>
      <c r="E691">
        <v>15</v>
      </c>
      <c r="F691">
        <v>0</v>
      </c>
      <c r="G691">
        <v>1</v>
      </c>
      <c r="H691">
        <v>211.33750000000001</v>
      </c>
      <c r="I691" t="s">
        <v>14</v>
      </c>
      <c r="J691" t="str">
        <f t="shared" si="30"/>
        <v>Child</v>
      </c>
      <c r="K691" t="str">
        <f t="shared" si="31"/>
        <v>High</v>
      </c>
      <c r="L691">
        <f t="shared" si="32"/>
        <v>2</v>
      </c>
    </row>
    <row r="692" spans="1:12">
      <c r="A692">
        <v>1</v>
      </c>
      <c r="B692">
        <v>1</v>
      </c>
      <c r="C692" t="s">
        <v>711</v>
      </c>
      <c r="D692" t="s">
        <v>13</v>
      </c>
      <c r="E692">
        <v>31</v>
      </c>
      <c r="F692">
        <v>1</v>
      </c>
      <c r="G692">
        <v>0</v>
      </c>
      <c r="H692">
        <v>57</v>
      </c>
      <c r="I692" t="s">
        <v>14</v>
      </c>
      <c r="J692" t="str">
        <f t="shared" si="30"/>
        <v>Adult</v>
      </c>
      <c r="K692" t="str">
        <f t="shared" si="31"/>
        <v>High</v>
      </c>
      <c r="L692">
        <f t="shared" si="32"/>
        <v>2</v>
      </c>
    </row>
    <row r="693" spans="1:12">
      <c r="A693">
        <v>1</v>
      </c>
      <c r="B693">
        <v>3</v>
      </c>
      <c r="C693" t="s">
        <v>712</v>
      </c>
      <c r="D693" t="s">
        <v>17</v>
      </c>
      <c r="E693">
        <v>4</v>
      </c>
      <c r="F693">
        <v>0</v>
      </c>
      <c r="G693">
        <v>1</v>
      </c>
      <c r="H693">
        <v>13.416700000000001</v>
      </c>
      <c r="I693" t="s">
        <v>18</v>
      </c>
      <c r="J693" t="str">
        <f t="shared" si="30"/>
        <v>Child</v>
      </c>
      <c r="K693" t="str">
        <f t="shared" si="31"/>
        <v>Low</v>
      </c>
      <c r="L693">
        <f t="shared" si="32"/>
        <v>2</v>
      </c>
    </row>
    <row r="694" spans="1:12">
      <c r="A694">
        <v>1</v>
      </c>
      <c r="B694">
        <v>3</v>
      </c>
      <c r="C694" t="s">
        <v>713</v>
      </c>
      <c r="D694" t="s">
        <v>13</v>
      </c>
      <c r="F694">
        <v>0</v>
      </c>
      <c r="G694">
        <v>0</v>
      </c>
      <c r="H694">
        <v>56.495800000000003</v>
      </c>
      <c r="I694" t="s">
        <v>14</v>
      </c>
      <c r="J694" t="str">
        <f t="shared" si="30"/>
        <v>Child</v>
      </c>
      <c r="K694" t="str">
        <f t="shared" si="31"/>
        <v>High</v>
      </c>
      <c r="L694">
        <f t="shared" si="32"/>
        <v>1</v>
      </c>
    </row>
    <row r="695" spans="1:12">
      <c r="A695">
        <v>0</v>
      </c>
      <c r="B695">
        <v>3</v>
      </c>
      <c r="C695" t="s">
        <v>714</v>
      </c>
      <c r="D695" t="s">
        <v>13</v>
      </c>
      <c r="E695">
        <v>25</v>
      </c>
      <c r="F695">
        <v>0</v>
      </c>
      <c r="G695">
        <v>0</v>
      </c>
      <c r="H695">
        <v>7.2249999999999996</v>
      </c>
      <c r="I695" t="s">
        <v>18</v>
      </c>
      <c r="J695" t="str">
        <f t="shared" si="30"/>
        <v>Adult</v>
      </c>
      <c r="K695" t="str">
        <f t="shared" si="31"/>
        <v>Low</v>
      </c>
      <c r="L695">
        <f t="shared" si="32"/>
        <v>1</v>
      </c>
    </row>
    <row r="696" spans="1:12">
      <c r="A696">
        <v>0</v>
      </c>
      <c r="B696">
        <v>1</v>
      </c>
      <c r="C696" t="s">
        <v>715</v>
      </c>
      <c r="D696" t="s">
        <v>13</v>
      </c>
      <c r="E696">
        <v>60</v>
      </c>
      <c r="F696">
        <v>0</v>
      </c>
      <c r="G696">
        <v>0</v>
      </c>
      <c r="H696">
        <v>26.55</v>
      </c>
      <c r="I696" t="s">
        <v>14</v>
      </c>
      <c r="J696" t="str">
        <f t="shared" si="30"/>
        <v>Adult</v>
      </c>
      <c r="K696" t="str">
        <f t="shared" si="31"/>
        <v>Low</v>
      </c>
      <c r="L696">
        <f t="shared" si="32"/>
        <v>1</v>
      </c>
    </row>
    <row r="697" spans="1:12">
      <c r="A697">
        <v>0</v>
      </c>
      <c r="B697">
        <v>2</v>
      </c>
      <c r="C697" t="s">
        <v>716</v>
      </c>
      <c r="D697" t="s">
        <v>13</v>
      </c>
      <c r="E697">
        <v>52</v>
      </c>
      <c r="F697">
        <v>0</v>
      </c>
      <c r="G697">
        <v>0</v>
      </c>
      <c r="H697">
        <v>13.5</v>
      </c>
      <c r="I697" t="s">
        <v>14</v>
      </c>
      <c r="J697" t="str">
        <f t="shared" si="30"/>
        <v>Adult</v>
      </c>
      <c r="K697" t="str">
        <f t="shared" si="31"/>
        <v>Low</v>
      </c>
      <c r="L697">
        <f t="shared" si="32"/>
        <v>1</v>
      </c>
    </row>
    <row r="698" spans="1:12">
      <c r="A698">
        <v>0</v>
      </c>
      <c r="B698">
        <v>3</v>
      </c>
      <c r="C698" t="s">
        <v>717</v>
      </c>
      <c r="D698" t="s">
        <v>13</v>
      </c>
      <c r="E698">
        <v>44</v>
      </c>
      <c r="F698">
        <v>0</v>
      </c>
      <c r="G698">
        <v>0</v>
      </c>
      <c r="H698">
        <v>8.0500000000000007</v>
      </c>
      <c r="I698" t="s">
        <v>14</v>
      </c>
      <c r="J698" t="str">
        <f t="shared" si="30"/>
        <v>Adult</v>
      </c>
      <c r="K698" t="str">
        <f t="shared" si="31"/>
        <v>Low</v>
      </c>
      <c r="L698">
        <f t="shared" si="32"/>
        <v>1</v>
      </c>
    </row>
    <row r="699" spans="1:12">
      <c r="A699">
        <v>1</v>
      </c>
      <c r="B699">
        <v>3</v>
      </c>
      <c r="C699" t="s">
        <v>718</v>
      </c>
      <c r="D699" t="s">
        <v>17</v>
      </c>
      <c r="F699">
        <v>0</v>
      </c>
      <c r="G699">
        <v>0</v>
      </c>
      <c r="H699">
        <v>7.7332999999999998</v>
      </c>
      <c r="I699" t="s">
        <v>26</v>
      </c>
      <c r="J699" t="str">
        <f t="shared" si="30"/>
        <v>Child</v>
      </c>
      <c r="K699" t="str">
        <f t="shared" si="31"/>
        <v>Low</v>
      </c>
      <c r="L699">
        <f t="shared" si="32"/>
        <v>1</v>
      </c>
    </row>
    <row r="700" spans="1:12">
      <c r="A700">
        <v>0</v>
      </c>
      <c r="B700">
        <v>1</v>
      </c>
      <c r="C700" t="s">
        <v>719</v>
      </c>
      <c r="D700" t="s">
        <v>13</v>
      </c>
      <c r="E700">
        <v>49</v>
      </c>
      <c r="F700">
        <v>1</v>
      </c>
      <c r="G700">
        <v>1</v>
      </c>
      <c r="H700">
        <v>110.88330000000001</v>
      </c>
      <c r="I700" t="s">
        <v>18</v>
      </c>
      <c r="J700" t="str">
        <f t="shared" si="30"/>
        <v>Adult</v>
      </c>
      <c r="K700" t="str">
        <f t="shared" si="31"/>
        <v>High</v>
      </c>
      <c r="L700">
        <f t="shared" si="32"/>
        <v>3</v>
      </c>
    </row>
    <row r="701" spans="1:12">
      <c r="A701">
        <v>0</v>
      </c>
      <c r="B701">
        <v>3</v>
      </c>
      <c r="C701" t="s">
        <v>720</v>
      </c>
      <c r="D701" t="s">
        <v>13</v>
      </c>
      <c r="E701">
        <v>42</v>
      </c>
      <c r="F701">
        <v>0</v>
      </c>
      <c r="G701">
        <v>0</v>
      </c>
      <c r="H701">
        <v>7.65</v>
      </c>
      <c r="I701" t="s">
        <v>14</v>
      </c>
      <c r="J701" t="str">
        <f t="shared" si="30"/>
        <v>Adult</v>
      </c>
      <c r="K701" t="str">
        <f t="shared" si="31"/>
        <v>Low</v>
      </c>
      <c r="L701">
        <f t="shared" si="32"/>
        <v>1</v>
      </c>
    </row>
    <row r="702" spans="1:12">
      <c r="A702">
        <v>1</v>
      </c>
      <c r="B702">
        <v>1</v>
      </c>
      <c r="C702" t="s">
        <v>721</v>
      </c>
      <c r="D702" t="s">
        <v>17</v>
      </c>
      <c r="E702">
        <v>18</v>
      </c>
      <c r="F702">
        <v>1</v>
      </c>
      <c r="G702">
        <v>0</v>
      </c>
      <c r="H702">
        <v>227.52500000000001</v>
      </c>
      <c r="I702" t="s">
        <v>18</v>
      </c>
      <c r="J702" t="str">
        <f t="shared" si="30"/>
        <v>Adult</v>
      </c>
      <c r="K702" t="str">
        <f t="shared" si="31"/>
        <v>High</v>
      </c>
      <c r="L702">
        <f t="shared" si="32"/>
        <v>2</v>
      </c>
    </row>
    <row r="703" spans="1:12">
      <c r="A703">
        <v>1</v>
      </c>
      <c r="B703">
        <v>1</v>
      </c>
      <c r="C703" t="s">
        <v>722</v>
      </c>
      <c r="D703" t="s">
        <v>13</v>
      </c>
      <c r="E703">
        <v>35</v>
      </c>
      <c r="F703">
        <v>0</v>
      </c>
      <c r="G703">
        <v>0</v>
      </c>
      <c r="H703">
        <v>26.287500000000001</v>
      </c>
      <c r="I703" t="s">
        <v>14</v>
      </c>
      <c r="J703" t="str">
        <f t="shared" si="30"/>
        <v>Adult</v>
      </c>
      <c r="K703" t="str">
        <f t="shared" si="31"/>
        <v>Low</v>
      </c>
      <c r="L703">
        <f t="shared" si="32"/>
        <v>1</v>
      </c>
    </row>
    <row r="704" spans="1:12">
      <c r="A704">
        <v>0</v>
      </c>
      <c r="B704">
        <v>3</v>
      </c>
      <c r="C704" t="s">
        <v>723</v>
      </c>
      <c r="D704" t="s">
        <v>17</v>
      </c>
      <c r="E704">
        <v>18</v>
      </c>
      <c r="F704">
        <v>0</v>
      </c>
      <c r="G704">
        <v>1</v>
      </c>
      <c r="H704">
        <v>14.4542</v>
      </c>
      <c r="I704" t="s">
        <v>18</v>
      </c>
      <c r="J704" t="str">
        <f t="shared" si="30"/>
        <v>Adult</v>
      </c>
      <c r="K704" t="str">
        <f t="shared" si="31"/>
        <v>Low</v>
      </c>
      <c r="L704">
        <f t="shared" si="32"/>
        <v>2</v>
      </c>
    </row>
    <row r="705" spans="1:12">
      <c r="A705">
        <v>0</v>
      </c>
      <c r="B705">
        <v>3</v>
      </c>
      <c r="C705" t="s">
        <v>724</v>
      </c>
      <c r="D705" t="s">
        <v>13</v>
      </c>
      <c r="E705">
        <v>25</v>
      </c>
      <c r="F705">
        <v>0</v>
      </c>
      <c r="G705">
        <v>0</v>
      </c>
      <c r="H705">
        <v>7.7416999999999998</v>
      </c>
      <c r="I705" t="s">
        <v>26</v>
      </c>
      <c r="J705" t="str">
        <f t="shared" si="30"/>
        <v>Adult</v>
      </c>
      <c r="K705" t="str">
        <f t="shared" si="31"/>
        <v>Low</v>
      </c>
      <c r="L705">
        <f t="shared" si="32"/>
        <v>1</v>
      </c>
    </row>
    <row r="706" spans="1:12">
      <c r="A706">
        <v>0</v>
      </c>
      <c r="B706">
        <v>3</v>
      </c>
      <c r="C706" t="s">
        <v>725</v>
      </c>
      <c r="D706" t="s">
        <v>13</v>
      </c>
      <c r="E706">
        <v>26</v>
      </c>
      <c r="F706">
        <v>1</v>
      </c>
      <c r="G706">
        <v>0</v>
      </c>
      <c r="H706">
        <v>7.8541999999999996</v>
      </c>
      <c r="I706" t="s">
        <v>14</v>
      </c>
      <c r="J706" t="str">
        <f t="shared" si="30"/>
        <v>Adult</v>
      </c>
      <c r="K706" t="str">
        <f t="shared" si="31"/>
        <v>Low</v>
      </c>
      <c r="L706">
        <f t="shared" si="32"/>
        <v>2</v>
      </c>
    </row>
    <row r="707" spans="1:12">
      <c r="A707">
        <v>0</v>
      </c>
      <c r="B707">
        <v>2</v>
      </c>
      <c r="C707" t="s">
        <v>726</v>
      </c>
      <c r="D707" t="s">
        <v>13</v>
      </c>
      <c r="E707">
        <v>39</v>
      </c>
      <c r="F707">
        <v>0</v>
      </c>
      <c r="G707">
        <v>0</v>
      </c>
      <c r="H707">
        <v>26</v>
      </c>
      <c r="I707" t="s">
        <v>14</v>
      </c>
      <c r="J707" t="str">
        <f t="shared" ref="J707:J770" si="33">IF(E707&lt;18,"Child","Adult")</f>
        <v>Adult</v>
      </c>
      <c r="K707" t="str">
        <f t="shared" ref="K707:K770" si="34">IF(H707&gt;50,"High","Low")</f>
        <v>Low</v>
      </c>
      <c r="L707">
        <f t="shared" ref="L707:L770" si="35">F707+G707+1</f>
        <v>1</v>
      </c>
    </row>
    <row r="708" spans="1:12">
      <c r="A708">
        <v>1</v>
      </c>
      <c r="B708">
        <v>2</v>
      </c>
      <c r="C708" t="s">
        <v>727</v>
      </c>
      <c r="D708" t="s">
        <v>17</v>
      </c>
      <c r="E708">
        <v>45</v>
      </c>
      <c r="F708">
        <v>0</v>
      </c>
      <c r="G708">
        <v>0</v>
      </c>
      <c r="H708">
        <v>13.5</v>
      </c>
      <c r="I708" t="s">
        <v>14</v>
      </c>
      <c r="J708" t="str">
        <f t="shared" si="33"/>
        <v>Adult</v>
      </c>
      <c r="K708" t="str">
        <f t="shared" si="34"/>
        <v>Low</v>
      </c>
      <c r="L708">
        <f t="shared" si="35"/>
        <v>1</v>
      </c>
    </row>
    <row r="709" spans="1:12">
      <c r="A709">
        <v>1</v>
      </c>
      <c r="B709">
        <v>1</v>
      </c>
      <c r="C709" t="s">
        <v>728</v>
      </c>
      <c r="D709" t="s">
        <v>13</v>
      </c>
      <c r="E709">
        <v>42</v>
      </c>
      <c r="F709">
        <v>0</v>
      </c>
      <c r="G709">
        <v>0</v>
      </c>
      <c r="H709">
        <v>26.287500000000001</v>
      </c>
      <c r="I709" t="s">
        <v>14</v>
      </c>
      <c r="J709" t="str">
        <f t="shared" si="33"/>
        <v>Adult</v>
      </c>
      <c r="K709" t="str">
        <f t="shared" si="34"/>
        <v>Low</v>
      </c>
      <c r="L709">
        <f t="shared" si="35"/>
        <v>1</v>
      </c>
    </row>
    <row r="710" spans="1:12">
      <c r="A710">
        <v>1</v>
      </c>
      <c r="B710">
        <v>1</v>
      </c>
      <c r="C710" t="s">
        <v>729</v>
      </c>
      <c r="D710" t="s">
        <v>17</v>
      </c>
      <c r="E710">
        <v>22</v>
      </c>
      <c r="F710">
        <v>0</v>
      </c>
      <c r="G710">
        <v>0</v>
      </c>
      <c r="H710">
        <v>151.55000000000001</v>
      </c>
      <c r="I710" t="s">
        <v>14</v>
      </c>
      <c r="J710" t="str">
        <f t="shared" si="33"/>
        <v>Adult</v>
      </c>
      <c r="K710" t="str">
        <f t="shared" si="34"/>
        <v>High</v>
      </c>
      <c r="L710">
        <f t="shared" si="35"/>
        <v>1</v>
      </c>
    </row>
    <row r="711" spans="1:12">
      <c r="A711">
        <v>1</v>
      </c>
      <c r="B711">
        <v>3</v>
      </c>
      <c r="C711" t="s">
        <v>730</v>
      </c>
      <c r="D711" t="s">
        <v>13</v>
      </c>
      <c r="F711">
        <v>1</v>
      </c>
      <c r="G711">
        <v>1</v>
      </c>
      <c r="H711">
        <v>15.245799999999999</v>
      </c>
      <c r="I711" t="s">
        <v>18</v>
      </c>
      <c r="J711" t="str">
        <f t="shared" si="33"/>
        <v>Child</v>
      </c>
      <c r="K711" t="str">
        <f t="shared" si="34"/>
        <v>Low</v>
      </c>
      <c r="L711">
        <f t="shared" si="35"/>
        <v>3</v>
      </c>
    </row>
    <row r="712" spans="1:12">
      <c r="A712">
        <v>1</v>
      </c>
      <c r="B712">
        <v>1</v>
      </c>
      <c r="C712" t="s">
        <v>731</v>
      </c>
      <c r="D712" t="s">
        <v>17</v>
      </c>
      <c r="E712">
        <v>24</v>
      </c>
      <c r="F712">
        <v>0</v>
      </c>
      <c r="G712">
        <v>0</v>
      </c>
      <c r="H712">
        <v>49.504199999999997</v>
      </c>
      <c r="I712" t="s">
        <v>18</v>
      </c>
      <c r="J712" t="str">
        <f t="shared" si="33"/>
        <v>Adult</v>
      </c>
      <c r="K712" t="str">
        <f t="shared" si="34"/>
        <v>Low</v>
      </c>
      <c r="L712">
        <f t="shared" si="35"/>
        <v>1</v>
      </c>
    </row>
    <row r="713" spans="1:12">
      <c r="A713">
        <v>0</v>
      </c>
      <c r="B713">
        <v>1</v>
      </c>
      <c r="C713" t="s">
        <v>732</v>
      </c>
      <c r="D713" t="s">
        <v>13</v>
      </c>
      <c r="F713">
        <v>0</v>
      </c>
      <c r="G713">
        <v>0</v>
      </c>
      <c r="H713">
        <v>26.55</v>
      </c>
      <c r="I713" t="s">
        <v>14</v>
      </c>
      <c r="J713" t="str">
        <f t="shared" si="33"/>
        <v>Child</v>
      </c>
      <c r="K713" t="str">
        <f t="shared" si="34"/>
        <v>Low</v>
      </c>
      <c r="L713">
        <f t="shared" si="35"/>
        <v>1</v>
      </c>
    </row>
    <row r="714" spans="1:12">
      <c r="A714">
        <v>1</v>
      </c>
      <c r="B714">
        <v>1</v>
      </c>
      <c r="C714" t="s">
        <v>733</v>
      </c>
      <c r="D714" t="s">
        <v>13</v>
      </c>
      <c r="E714">
        <v>48</v>
      </c>
      <c r="F714">
        <v>1</v>
      </c>
      <c r="G714">
        <v>0</v>
      </c>
      <c r="H714">
        <v>52</v>
      </c>
      <c r="I714" t="s">
        <v>14</v>
      </c>
      <c r="J714" t="str">
        <f t="shared" si="33"/>
        <v>Adult</v>
      </c>
      <c r="K714" t="str">
        <f t="shared" si="34"/>
        <v>High</v>
      </c>
      <c r="L714">
        <f t="shared" si="35"/>
        <v>2</v>
      </c>
    </row>
    <row r="715" spans="1:12">
      <c r="A715">
        <v>0</v>
      </c>
      <c r="B715">
        <v>3</v>
      </c>
      <c r="C715" t="s">
        <v>734</v>
      </c>
      <c r="D715" t="s">
        <v>13</v>
      </c>
      <c r="E715">
        <v>29</v>
      </c>
      <c r="F715">
        <v>0</v>
      </c>
      <c r="G715">
        <v>0</v>
      </c>
      <c r="H715">
        <v>9.4832999999999998</v>
      </c>
      <c r="I715" t="s">
        <v>14</v>
      </c>
      <c r="J715" t="str">
        <f t="shared" si="33"/>
        <v>Adult</v>
      </c>
      <c r="K715" t="str">
        <f t="shared" si="34"/>
        <v>Low</v>
      </c>
      <c r="L715">
        <f t="shared" si="35"/>
        <v>1</v>
      </c>
    </row>
    <row r="716" spans="1:12">
      <c r="A716">
        <v>0</v>
      </c>
      <c r="B716">
        <v>2</v>
      </c>
      <c r="C716" t="s">
        <v>735</v>
      </c>
      <c r="D716" t="s">
        <v>13</v>
      </c>
      <c r="E716">
        <v>52</v>
      </c>
      <c r="F716">
        <v>0</v>
      </c>
      <c r="G716">
        <v>0</v>
      </c>
      <c r="H716">
        <v>13</v>
      </c>
      <c r="I716" t="s">
        <v>14</v>
      </c>
      <c r="J716" t="str">
        <f t="shared" si="33"/>
        <v>Adult</v>
      </c>
      <c r="K716" t="str">
        <f t="shared" si="34"/>
        <v>Low</v>
      </c>
      <c r="L716">
        <f t="shared" si="35"/>
        <v>1</v>
      </c>
    </row>
    <row r="717" spans="1:12">
      <c r="A717">
        <v>0</v>
      </c>
      <c r="B717">
        <v>3</v>
      </c>
      <c r="C717" t="s">
        <v>736</v>
      </c>
      <c r="D717" t="s">
        <v>13</v>
      </c>
      <c r="E717">
        <v>19</v>
      </c>
      <c r="F717">
        <v>0</v>
      </c>
      <c r="G717">
        <v>0</v>
      </c>
      <c r="H717">
        <v>7.65</v>
      </c>
      <c r="I717" t="s">
        <v>14</v>
      </c>
      <c r="J717" t="str">
        <f t="shared" si="33"/>
        <v>Adult</v>
      </c>
      <c r="K717" t="str">
        <f t="shared" si="34"/>
        <v>Low</v>
      </c>
      <c r="L717">
        <f t="shared" si="35"/>
        <v>1</v>
      </c>
    </row>
    <row r="718" spans="1:12">
      <c r="A718">
        <v>1</v>
      </c>
      <c r="B718">
        <v>1</v>
      </c>
      <c r="C718" t="s">
        <v>737</v>
      </c>
      <c r="D718" t="s">
        <v>17</v>
      </c>
      <c r="E718">
        <v>38</v>
      </c>
      <c r="F718">
        <v>0</v>
      </c>
      <c r="G718">
        <v>0</v>
      </c>
      <c r="H718">
        <v>227.52500000000001</v>
      </c>
      <c r="I718" t="s">
        <v>18</v>
      </c>
      <c r="J718" t="str">
        <f t="shared" si="33"/>
        <v>Adult</v>
      </c>
      <c r="K718" t="str">
        <f t="shared" si="34"/>
        <v>High</v>
      </c>
      <c r="L718">
        <f t="shared" si="35"/>
        <v>1</v>
      </c>
    </row>
    <row r="719" spans="1:12">
      <c r="A719">
        <v>1</v>
      </c>
      <c r="B719">
        <v>2</v>
      </c>
      <c r="C719" t="s">
        <v>738</v>
      </c>
      <c r="D719" t="s">
        <v>17</v>
      </c>
      <c r="E719">
        <v>27</v>
      </c>
      <c r="F719">
        <v>0</v>
      </c>
      <c r="G719">
        <v>0</v>
      </c>
      <c r="H719">
        <v>10.5</v>
      </c>
      <c r="I719" t="s">
        <v>14</v>
      </c>
      <c r="J719" t="str">
        <f t="shared" si="33"/>
        <v>Adult</v>
      </c>
      <c r="K719" t="str">
        <f t="shared" si="34"/>
        <v>Low</v>
      </c>
      <c r="L719">
        <f t="shared" si="35"/>
        <v>1</v>
      </c>
    </row>
    <row r="720" spans="1:12">
      <c r="A720">
        <v>0</v>
      </c>
      <c r="B720">
        <v>3</v>
      </c>
      <c r="C720" t="s">
        <v>739</v>
      </c>
      <c r="D720" t="s">
        <v>13</v>
      </c>
      <c r="F720">
        <v>0</v>
      </c>
      <c r="G720">
        <v>0</v>
      </c>
      <c r="H720">
        <v>15.5</v>
      </c>
      <c r="I720" t="s">
        <v>26</v>
      </c>
      <c r="J720" t="str">
        <f t="shared" si="33"/>
        <v>Child</v>
      </c>
      <c r="K720" t="str">
        <f t="shared" si="34"/>
        <v>Low</v>
      </c>
      <c r="L720">
        <f t="shared" si="35"/>
        <v>1</v>
      </c>
    </row>
    <row r="721" spans="1:12">
      <c r="A721">
        <v>0</v>
      </c>
      <c r="B721">
        <v>3</v>
      </c>
      <c r="C721" t="s">
        <v>740</v>
      </c>
      <c r="D721" t="s">
        <v>13</v>
      </c>
      <c r="E721">
        <v>33</v>
      </c>
      <c r="F721">
        <v>0</v>
      </c>
      <c r="G721">
        <v>0</v>
      </c>
      <c r="H721">
        <v>7.7750000000000004</v>
      </c>
      <c r="I721" t="s">
        <v>14</v>
      </c>
      <c r="J721" t="str">
        <f t="shared" si="33"/>
        <v>Adult</v>
      </c>
      <c r="K721" t="str">
        <f t="shared" si="34"/>
        <v>Low</v>
      </c>
      <c r="L721">
        <f t="shared" si="35"/>
        <v>1</v>
      </c>
    </row>
    <row r="722" spans="1:12">
      <c r="A722">
        <v>1</v>
      </c>
      <c r="B722">
        <v>2</v>
      </c>
      <c r="C722" t="s">
        <v>741</v>
      </c>
      <c r="D722" t="s">
        <v>17</v>
      </c>
      <c r="E722">
        <v>6</v>
      </c>
      <c r="F722">
        <v>0</v>
      </c>
      <c r="G722">
        <v>1</v>
      </c>
      <c r="H722">
        <v>33</v>
      </c>
      <c r="I722" t="s">
        <v>14</v>
      </c>
      <c r="J722" t="str">
        <f t="shared" si="33"/>
        <v>Child</v>
      </c>
      <c r="K722" t="str">
        <f t="shared" si="34"/>
        <v>Low</v>
      </c>
      <c r="L722">
        <f t="shared" si="35"/>
        <v>2</v>
      </c>
    </row>
    <row r="723" spans="1:12">
      <c r="A723">
        <v>0</v>
      </c>
      <c r="B723">
        <v>3</v>
      </c>
      <c r="C723" t="s">
        <v>742</v>
      </c>
      <c r="D723" t="s">
        <v>13</v>
      </c>
      <c r="E723">
        <v>17</v>
      </c>
      <c r="F723">
        <v>1</v>
      </c>
      <c r="G723">
        <v>0</v>
      </c>
      <c r="H723">
        <v>7.0541999999999998</v>
      </c>
      <c r="I723" t="s">
        <v>14</v>
      </c>
      <c r="J723" t="str">
        <f t="shared" si="33"/>
        <v>Child</v>
      </c>
      <c r="K723" t="str">
        <f t="shared" si="34"/>
        <v>Low</v>
      </c>
      <c r="L723">
        <f t="shared" si="35"/>
        <v>2</v>
      </c>
    </row>
    <row r="724" spans="1:12">
      <c r="A724">
        <v>0</v>
      </c>
      <c r="B724">
        <v>2</v>
      </c>
      <c r="C724" t="s">
        <v>743</v>
      </c>
      <c r="D724" t="s">
        <v>13</v>
      </c>
      <c r="E724">
        <v>34</v>
      </c>
      <c r="F724">
        <v>0</v>
      </c>
      <c r="G724">
        <v>0</v>
      </c>
      <c r="H724">
        <v>13</v>
      </c>
      <c r="I724" t="s">
        <v>14</v>
      </c>
      <c r="J724" t="str">
        <f t="shared" si="33"/>
        <v>Adult</v>
      </c>
      <c r="K724" t="str">
        <f t="shared" si="34"/>
        <v>Low</v>
      </c>
      <c r="L724">
        <f t="shared" si="35"/>
        <v>1</v>
      </c>
    </row>
    <row r="725" spans="1:12">
      <c r="A725">
        <v>0</v>
      </c>
      <c r="B725">
        <v>2</v>
      </c>
      <c r="C725" t="s">
        <v>744</v>
      </c>
      <c r="D725" t="s">
        <v>13</v>
      </c>
      <c r="E725">
        <v>50</v>
      </c>
      <c r="F725">
        <v>0</v>
      </c>
      <c r="G725">
        <v>0</v>
      </c>
      <c r="H725">
        <v>13</v>
      </c>
      <c r="I725" t="s">
        <v>14</v>
      </c>
      <c r="J725" t="str">
        <f t="shared" si="33"/>
        <v>Adult</v>
      </c>
      <c r="K725" t="str">
        <f t="shared" si="34"/>
        <v>Low</v>
      </c>
      <c r="L725">
        <f t="shared" si="35"/>
        <v>1</v>
      </c>
    </row>
    <row r="726" spans="1:12">
      <c r="A726">
        <v>1</v>
      </c>
      <c r="B726">
        <v>1</v>
      </c>
      <c r="C726" t="s">
        <v>745</v>
      </c>
      <c r="D726" t="s">
        <v>13</v>
      </c>
      <c r="E726">
        <v>27</v>
      </c>
      <c r="F726">
        <v>1</v>
      </c>
      <c r="G726">
        <v>0</v>
      </c>
      <c r="H726">
        <v>53.1</v>
      </c>
      <c r="I726" t="s">
        <v>14</v>
      </c>
      <c r="J726" t="str">
        <f t="shared" si="33"/>
        <v>Adult</v>
      </c>
      <c r="K726" t="str">
        <f t="shared" si="34"/>
        <v>High</v>
      </c>
      <c r="L726">
        <f t="shared" si="35"/>
        <v>2</v>
      </c>
    </row>
    <row r="727" spans="1:12">
      <c r="A727">
        <v>0</v>
      </c>
      <c r="B727">
        <v>3</v>
      </c>
      <c r="C727" t="s">
        <v>746</v>
      </c>
      <c r="D727" t="s">
        <v>13</v>
      </c>
      <c r="E727">
        <v>20</v>
      </c>
      <c r="F727">
        <v>0</v>
      </c>
      <c r="G727">
        <v>0</v>
      </c>
      <c r="H727">
        <v>8.6624999999999996</v>
      </c>
      <c r="I727" t="s">
        <v>14</v>
      </c>
      <c r="J727" t="str">
        <f t="shared" si="33"/>
        <v>Adult</v>
      </c>
      <c r="K727" t="str">
        <f t="shared" si="34"/>
        <v>Low</v>
      </c>
      <c r="L727">
        <f t="shared" si="35"/>
        <v>1</v>
      </c>
    </row>
    <row r="728" spans="1:12">
      <c r="A728">
        <v>1</v>
      </c>
      <c r="B728">
        <v>2</v>
      </c>
      <c r="C728" t="s">
        <v>747</v>
      </c>
      <c r="D728" t="s">
        <v>17</v>
      </c>
      <c r="E728">
        <v>30</v>
      </c>
      <c r="F728">
        <v>3</v>
      </c>
      <c r="G728">
        <v>0</v>
      </c>
      <c r="H728">
        <v>21</v>
      </c>
      <c r="I728" t="s">
        <v>14</v>
      </c>
      <c r="J728" t="str">
        <f t="shared" si="33"/>
        <v>Adult</v>
      </c>
      <c r="K728" t="str">
        <f t="shared" si="34"/>
        <v>Low</v>
      </c>
      <c r="L728">
        <f t="shared" si="35"/>
        <v>4</v>
      </c>
    </row>
    <row r="729" spans="1:12">
      <c r="A729">
        <v>1</v>
      </c>
      <c r="B729">
        <v>3</v>
      </c>
      <c r="C729" t="s">
        <v>748</v>
      </c>
      <c r="D729" t="s">
        <v>17</v>
      </c>
      <c r="F729">
        <v>0</v>
      </c>
      <c r="G729">
        <v>0</v>
      </c>
      <c r="H729">
        <v>7.7374999999999998</v>
      </c>
      <c r="I729" t="s">
        <v>26</v>
      </c>
      <c r="J729" t="str">
        <f t="shared" si="33"/>
        <v>Child</v>
      </c>
      <c r="K729" t="str">
        <f t="shared" si="34"/>
        <v>Low</v>
      </c>
      <c r="L729">
        <f t="shared" si="35"/>
        <v>1</v>
      </c>
    </row>
    <row r="730" spans="1:12">
      <c r="A730">
        <v>0</v>
      </c>
      <c r="B730">
        <v>2</v>
      </c>
      <c r="C730" t="s">
        <v>749</v>
      </c>
      <c r="D730" t="s">
        <v>13</v>
      </c>
      <c r="E730">
        <v>25</v>
      </c>
      <c r="F730">
        <v>1</v>
      </c>
      <c r="G730">
        <v>0</v>
      </c>
      <c r="H730">
        <v>26</v>
      </c>
      <c r="I730" t="s">
        <v>14</v>
      </c>
      <c r="J730" t="str">
        <f t="shared" si="33"/>
        <v>Adult</v>
      </c>
      <c r="K730" t="str">
        <f t="shared" si="34"/>
        <v>Low</v>
      </c>
      <c r="L730">
        <f t="shared" si="35"/>
        <v>2</v>
      </c>
    </row>
    <row r="731" spans="1:12">
      <c r="A731">
        <v>0</v>
      </c>
      <c r="B731">
        <v>3</v>
      </c>
      <c r="C731" t="s">
        <v>750</v>
      </c>
      <c r="D731" t="s">
        <v>17</v>
      </c>
      <c r="E731">
        <v>25</v>
      </c>
      <c r="F731">
        <v>1</v>
      </c>
      <c r="G731">
        <v>0</v>
      </c>
      <c r="H731">
        <v>7.9249999999999998</v>
      </c>
      <c r="I731" t="s">
        <v>14</v>
      </c>
      <c r="J731" t="str">
        <f t="shared" si="33"/>
        <v>Adult</v>
      </c>
      <c r="K731" t="str">
        <f t="shared" si="34"/>
        <v>Low</v>
      </c>
      <c r="L731">
        <f t="shared" si="35"/>
        <v>2</v>
      </c>
    </row>
    <row r="732" spans="1:12">
      <c r="A732">
        <v>1</v>
      </c>
      <c r="B732">
        <v>1</v>
      </c>
      <c r="C732" t="s">
        <v>751</v>
      </c>
      <c r="D732" t="s">
        <v>17</v>
      </c>
      <c r="E732">
        <v>29</v>
      </c>
      <c r="F732">
        <v>0</v>
      </c>
      <c r="G732">
        <v>0</v>
      </c>
      <c r="H732">
        <v>211.33750000000001</v>
      </c>
      <c r="I732" t="s">
        <v>14</v>
      </c>
      <c r="J732" t="str">
        <f t="shared" si="33"/>
        <v>Adult</v>
      </c>
      <c r="K732" t="str">
        <f t="shared" si="34"/>
        <v>High</v>
      </c>
      <c r="L732">
        <f t="shared" si="35"/>
        <v>1</v>
      </c>
    </row>
    <row r="733" spans="1:12">
      <c r="A733">
        <v>0</v>
      </c>
      <c r="B733">
        <v>3</v>
      </c>
      <c r="C733" t="s">
        <v>752</v>
      </c>
      <c r="D733" t="s">
        <v>13</v>
      </c>
      <c r="E733">
        <v>11</v>
      </c>
      <c r="F733">
        <v>0</v>
      </c>
      <c r="G733">
        <v>0</v>
      </c>
      <c r="H733">
        <v>18.787500000000001</v>
      </c>
      <c r="I733" t="s">
        <v>18</v>
      </c>
      <c r="J733" t="str">
        <f t="shared" si="33"/>
        <v>Child</v>
      </c>
      <c r="K733" t="str">
        <f t="shared" si="34"/>
        <v>Low</v>
      </c>
      <c r="L733">
        <f t="shared" si="35"/>
        <v>1</v>
      </c>
    </row>
    <row r="734" spans="1:12">
      <c r="A734">
        <v>0</v>
      </c>
      <c r="B734">
        <v>2</v>
      </c>
      <c r="C734" t="s">
        <v>753</v>
      </c>
      <c r="D734" t="s">
        <v>13</v>
      </c>
      <c r="F734">
        <v>0</v>
      </c>
      <c r="G734">
        <v>0</v>
      </c>
      <c r="H734">
        <v>0</v>
      </c>
      <c r="I734" t="s">
        <v>14</v>
      </c>
      <c r="J734" t="str">
        <f t="shared" si="33"/>
        <v>Child</v>
      </c>
      <c r="K734" t="str">
        <f t="shared" si="34"/>
        <v>Low</v>
      </c>
      <c r="L734">
        <f t="shared" si="35"/>
        <v>1</v>
      </c>
    </row>
    <row r="735" spans="1:12">
      <c r="A735">
        <v>0</v>
      </c>
      <c r="B735">
        <v>2</v>
      </c>
      <c r="C735" t="s">
        <v>754</v>
      </c>
      <c r="D735" t="s">
        <v>13</v>
      </c>
      <c r="E735">
        <v>23</v>
      </c>
      <c r="F735">
        <v>0</v>
      </c>
      <c r="G735">
        <v>0</v>
      </c>
      <c r="H735">
        <v>13</v>
      </c>
      <c r="I735" t="s">
        <v>14</v>
      </c>
      <c r="J735" t="str">
        <f t="shared" si="33"/>
        <v>Adult</v>
      </c>
      <c r="K735" t="str">
        <f t="shared" si="34"/>
        <v>Low</v>
      </c>
      <c r="L735">
        <f t="shared" si="35"/>
        <v>1</v>
      </c>
    </row>
    <row r="736" spans="1:12">
      <c r="A736">
        <v>0</v>
      </c>
      <c r="B736">
        <v>2</v>
      </c>
      <c r="C736" t="s">
        <v>755</v>
      </c>
      <c r="D736" t="s">
        <v>13</v>
      </c>
      <c r="E736">
        <v>23</v>
      </c>
      <c r="F736">
        <v>0</v>
      </c>
      <c r="G736">
        <v>0</v>
      </c>
      <c r="H736">
        <v>13</v>
      </c>
      <c r="I736" t="s">
        <v>14</v>
      </c>
      <c r="J736" t="str">
        <f t="shared" si="33"/>
        <v>Adult</v>
      </c>
      <c r="K736" t="str">
        <f t="shared" si="34"/>
        <v>Low</v>
      </c>
      <c r="L736">
        <f t="shared" si="35"/>
        <v>1</v>
      </c>
    </row>
    <row r="737" spans="1:12">
      <c r="A737">
        <v>0</v>
      </c>
      <c r="B737">
        <v>3</v>
      </c>
      <c r="C737" t="s">
        <v>756</v>
      </c>
      <c r="D737" t="s">
        <v>13</v>
      </c>
      <c r="E737">
        <v>28.5</v>
      </c>
      <c r="F737">
        <v>0</v>
      </c>
      <c r="G737">
        <v>0</v>
      </c>
      <c r="H737">
        <v>16.100000000000001</v>
      </c>
      <c r="I737" t="s">
        <v>14</v>
      </c>
      <c r="J737" t="str">
        <f t="shared" si="33"/>
        <v>Adult</v>
      </c>
      <c r="K737" t="str">
        <f t="shared" si="34"/>
        <v>Low</v>
      </c>
      <c r="L737">
        <f t="shared" si="35"/>
        <v>1</v>
      </c>
    </row>
    <row r="738" spans="1:12">
      <c r="A738">
        <v>0</v>
      </c>
      <c r="B738">
        <v>3</v>
      </c>
      <c r="C738" t="s">
        <v>757</v>
      </c>
      <c r="D738" t="s">
        <v>17</v>
      </c>
      <c r="E738">
        <v>48</v>
      </c>
      <c r="F738">
        <v>1</v>
      </c>
      <c r="G738">
        <v>3</v>
      </c>
      <c r="H738">
        <v>34.375</v>
      </c>
      <c r="I738" t="s">
        <v>14</v>
      </c>
      <c r="J738" t="str">
        <f t="shared" si="33"/>
        <v>Adult</v>
      </c>
      <c r="K738" t="str">
        <f t="shared" si="34"/>
        <v>Low</v>
      </c>
      <c r="L738">
        <f t="shared" si="35"/>
        <v>5</v>
      </c>
    </row>
    <row r="739" spans="1:12">
      <c r="A739">
        <v>1</v>
      </c>
      <c r="B739">
        <v>1</v>
      </c>
      <c r="C739" t="s">
        <v>758</v>
      </c>
      <c r="D739" t="s">
        <v>13</v>
      </c>
      <c r="E739">
        <v>35</v>
      </c>
      <c r="F739">
        <v>0</v>
      </c>
      <c r="G739">
        <v>0</v>
      </c>
      <c r="H739">
        <v>512.32920000000001</v>
      </c>
      <c r="I739" t="s">
        <v>18</v>
      </c>
      <c r="J739" t="str">
        <f t="shared" si="33"/>
        <v>Adult</v>
      </c>
      <c r="K739" t="str">
        <f t="shared" si="34"/>
        <v>High</v>
      </c>
      <c r="L739">
        <f t="shared" si="35"/>
        <v>1</v>
      </c>
    </row>
    <row r="740" spans="1:12">
      <c r="A740">
        <v>0</v>
      </c>
      <c r="B740">
        <v>3</v>
      </c>
      <c r="C740" t="s">
        <v>759</v>
      </c>
      <c r="D740" t="s">
        <v>13</v>
      </c>
      <c r="F740">
        <v>0</v>
      </c>
      <c r="G740">
        <v>0</v>
      </c>
      <c r="H740">
        <v>7.8958000000000004</v>
      </c>
      <c r="I740" t="s">
        <v>14</v>
      </c>
      <c r="J740" t="str">
        <f t="shared" si="33"/>
        <v>Child</v>
      </c>
      <c r="K740" t="str">
        <f t="shared" si="34"/>
        <v>Low</v>
      </c>
      <c r="L740">
        <f t="shared" si="35"/>
        <v>1</v>
      </c>
    </row>
    <row r="741" spans="1:12">
      <c r="A741">
        <v>0</v>
      </c>
      <c r="B741">
        <v>3</v>
      </c>
      <c r="C741" t="s">
        <v>760</v>
      </c>
      <c r="D741" t="s">
        <v>13</v>
      </c>
      <c r="F741">
        <v>0</v>
      </c>
      <c r="G741">
        <v>0</v>
      </c>
      <c r="H741">
        <v>7.8958000000000004</v>
      </c>
      <c r="I741" t="s">
        <v>14</v>
      </c>
      <c r="J741" t="str">
        <f t="shared" si="33"/>
        <v>Child</v>
      </c>
      <c r="K741" t="str">
        <f t="shared" si="34"/>
        <v>Low</v>
      </c>
      <c r="L741">
        <f t="shared" si="35"/>
        <v>1</v>
      </c>
    </row>
    <row r="742" spans="1:12">
      <c r="A742">
        <v>1</v>
      </c>
      <c r="B742">
        <v>1</v>
      </c>
      <c r="C742" t="s">
        <v>761</v>
      </c>
      <c r="D742" t="s">
        <v>13</v>
      </c>
      <c r="F742">
        <v>0</v>
      </c>
      <c r="G742">
        <v>0</v>
      </c>
      <c r="H742">
        <v>30</v>
      </c>
      <c r="I742" t="s">
        <v>14</v>
      </c>
      <c r="J742" t="str">
        <f t="shared" si="33"/>
        <v>Child</v>
      </c>
      <c r="K742" t="str">
        <f t="shared" si="34"/>
        <v>Low</v>
      </c>
      <c r="L742">
        <f t="shared" si="35"/>
        <v>1</v>
      </c>
    </row>
    <row r="743" spans="1:12">
      <c r="A743">
        <v>0</v>
      </c>
      <c r="B743">
        <v>1</v>
      </c>
      <c r="C743" t="s">
        <v>762</v>
      </c>
      <c r="D743" t="s">
        <v>13</v>
      </c>
      <c r="E743">
        <v>36</v>
      </c>
      <c r="F743">
        <v>1</v>
      </c>
      <c r="G743">
        <v>0</v>
      </c>
      <c r="H743">
        <v>78.849999999999994</v>
      </c>
      <c r="I743" t="s">
        <v>14</v>
      </c>
      <c r="J743" t="str">
        <f t="shared" si="33"/>
        <v>Adult</v>
      </c>
      <c r="K743" t="str">
        <f t="shared" si="34"/>
        <v>High</v>
      </c>
      <c r="L743">
        <f t="shared" si="35"/>
        <v>2</v>
      </c>
    </row>
    <row r="744" spans="1:12">
      <c r="A744">
        <v>1</v>
      </c>
      <c r="B744">
        <v>1</v>
      </c>
      <c r="C744" t="s">
        <v>763</v>
      </c>
      <c r="D744" t="s">
        <v>17</v>
      </c>
      <c r="E744">
        <v>21</v>
      </c>
      <c r="F744">
        <v>2</v>
      </c>
      <c r="G744">
        <v>2</v>
      </c>
      <c r="H744">
        <v>262.375</v>
      </c>
      <c r="I744" t="s">
        <v>18</v>
      </c>
      <c r="J744" t="str">
        <f t="shared" si="33"/>
        <v>Adult</v>
      </c>
      <c r="K744" t="str">
        <f t="shared" si="34"/>
        <v>High</v>
      </c>
      <c r="L744">
        <f t="shared" si="35"/>
        <v>5</v>
      </c>
    </row>
    <row r="745" spans="1:12">
      <c r="A745">
        <v>0</v>
      </c>
      <c r="B745">
        <v>3</v>
      </c>
      <c r="C745" t="s">
        <v>764</v>
      </c>
      <c r="D745" t="s">
        <v>13</v>
      </c>
      <c r="E745">
        <v>24</v>
      </c>
      <c r="F745">
        <v>1</v>
      </c>
      <c r="G745">
        <v>0</v>
      </c>
      <c r="H745">
        <v>16.100000000000001</v>
      </c>
      <c r="I745" t="s">
        <v>14</v>
      </c>
      <c r="J745" t="str">
        <f t="shared" si="33"/>
        <v>Adult</v>
      </c>
      <c r="K745" t="str">
        <f t="shared" si="34"/>
        <v>Low</v>
      </c>
      <c r="L745">
        <f t="shared" si="35"/>
        <v>2</v>
      </c>
    </row>
    <row r="746" spans="1:12">
      <c r="A746">
        <v>1</v>
      </c>
      <c r="B746">
        <v>3</v>
      </c>
      <c r="C746" t="s">
        <v>765</v>
      </c>
      <c r="D746" t="s">
        <v>13</v>
      </c>
      <c r="E746">
        <v>31</v>
      </c>
      <c r="F746">
        <v>0</v>
      </c>
      <c r="G746">
        <v>0</v>
      </c>
      <c r="H746">
        <v>7.9249999999999998</v>
      </c>
      <c r="I746" t="s">
        <v>14</v>
      </c>
      <c r="J746" t="str">
        <f t="shared" si="33"/>
        <v>Adult</v>
      </c>
      <c r="K746" t="str">
        <f t="shared" si="34"/>
        <v>Low</v>
      </c>
      <c r="L746">
        <f t="shared" si="35"/>
        <v>1</v>
      </c>
    </row>
    <row r="747" spans="1:12">
      <c r="A747">
        <v>0</v>
      </c>
      <c r="B747">
        <v>1</v>
      </c>
      <c r="C747" t="s">
        <v>766</v>
      </c>
      <c r="D747" t="s">
        <v>13</v>
      </c>
      <c r="E747">
        <v>70</v>
      </c>
      <c r="F747">
        <v>1</v>
      </c>
      <c r="G747">
        <v>1</v>
      </c>
      <c r="H747">
        <v>71</v>
      </c>
      <c r="I747" t="s">
        <v>14</v>
      </c>
      <c r="J747" t="str">
        <f t="shared" si="33"/>
        <v>Adult</v>
      </c>
      <c r="K747" t="str">
        <f t="shared" si="34"/>
        <v>High</v>
      </c>
      <c r="L747">
        <f t="shared" si="35"/>
        <v>3</v>
      </c>
    </row>
    <row r="748" spans="1:12">
      <c r="A748">
        <v>0</v>
      </c>
      <c r="B748">
        <v>3</v>
      </c>
      <c r="C748" t="s">
        <v>767</v>
      </c>
      <c r="D748" t="s">
        <v>13</v>
      </c>
      <c r="E748">
        <v>16</v>
      </c>
      <c r="F748">
        <v>1</v>
      </c>
      <c r="G748">
        <v>1</v>
      </c>
      <c r="H748">
        <v>20.25</v>
      </c>
      <c r="I748" t="s">
        <v>14</v>
      </c>
      <c r="J748" t="str">
        <f t="shared" si="33"/>
        <v>Child</v>
      </c>
      <c r="K748" t="str">
        <f t="shared" si="34"/>
        <v>Low</v>
      </c>
      <c r="L748">
        <f t="shared" si="35"/>
        <v>3</v>
      </c>
    </row>
    <row r="749" spans="1:12">
      <c r="A749">
        <v>1</v>
      </c>
      <c r="B749">
        <v>2</v>
      </c>
      <c r="C749" t="s">
        <v>768</v>
      </c>
      <c r="D749" t="s">
        <v>17</v>
      </c>
      <c r="E749">
        <v>30</v>
      </c>
      <c r="F749">
        <v>0</v>
      </c>
      <c r="G749">
        <v>0</v>
      </c>
      <c r="H749">
        <v>13</v>
      </c>
      <c r="I749" t="s">
        <v>14</v>
      </c>
      <c r="J749" t="str">
        <f t="shared" si="33"/>
        <v>Adult</v>
      </c>
      <c r="K749" t="str">
        <f t="shared" si="34"/>
        <v>Low</v>
      </c>
      <c r="L749">
        <f t="shared" si="35"/>
        <v>1</v>
      </c>
    </row>
    <row r="750" spans="1:12">
      <c r="A750">
        <v>0</v>
      </c>
      <c r="B750">
        <v>1</v>
      </c>
      <c r="C750" t="s">
        <v>769</v>
      </c>
      <c r="D750" t="s">
        <v>13</v>
      </c>
      <c r="E750">
        <v>19</v>
      </c>
      <c r="F750">
        <v>1</v>
      </c>
      <c r="G750">
        <v>0</v>
      </c>
      <c r="H750">
        <v>53.1</v>
      </c>
      <c r="I750" t="s">
        <v>14</v>
      </c>
      <c r="J750" t="str">
        <f t="shared" si="33"/>
        <v>Adult</v>
      </c>
      <c r="K750" t="str">
        <f t="shared" si="34"/>
        <v>High</v>
      </c>
      <c r="L750">
        <f t="shared" si="35"/>
        <v>2</v>
      </c>
    </row>
    <row r="751" spans="1:12">
      <c r="A751">
        <v>0</v>
      </c>
      <c r="B751">
        <v>3</v>
      </c>
      <c r="C751" t="s">
        <v>770</v>
      </c>
      <c r="D751" t="s">
        <v>13</v>
      </c>
      <c r="E751">
        <v>31</v>
      </c>
      <c r="F751">
        <v>0</v>
      </c>
      <c r="G751">
        <v>0</v>
      </c>
      <c r="H751">
        <v>7.75</v>
      </c>
      <c r="I751" t="s">
        <v>26</v>
      </c>
      <c r="J751" t="str">
        <f t="shared" si="33"/>
        <v>Adult</v>
      </c>
      <c r="K751" t="str">
        <f t="shared" si="34"/>
        <v>Low</v>
      </c>
      <c r="L751">
        <f t="shared" si="35"/>
        <v>1</v>
      </c>
    </row>
    <row r="752" spans="1:12">
      <c r="A752">
        <v>1</v>
      </c>
      <c r="B752">
        <v>2</v>
      </c>
      <c r="C752" t="s">
        <v>771</v>
      </c>
      <c r="D752" t="s">
        <v>17</v>
      </c>
      <c r="E752">
        <v>4</v>
      </c>
      <c r="F752">
        <v>1</v>
      </c>
      <c r="G752">
        <v>1</v>
      </c>
      <c r="H752">
        <v>23</v>
      </c>
      <c r="I752" t="s">
        <v>14</v>
      </c>
      <c r="J752" t="str">
        <f t="shared" si="33"/>
        <v>Child</v>
      </c>
      <c r="K752" t="str">
        <f t="shared" si="34"/>
        <v>Low</v>
      </c>
      <c r="L752">
        <f t="shared" si="35"/>
        <v>3</v>
      </c>
    </row>
    <row r="753" spans="1:12">
      <c r="A753">
        <v>1</v>
      </c>
      <c r="B753">
        <v>3</v>
      </c>
      <c r="C753" t="s">
        <v>772</v>
      </c>
      <c r="D753" t="s">
        <v>13</v>
      </c>
      <c r="E753">
        <v>6</v>
      </c>
      <c r="F753">
        <v>0</v>
      </c>
      <c r="G753">
        <v>1</v>
      </c>
      <c r="H753">
        <v>12.475</v>
      </c>
      <c r="I753" t="s">
        <v>14</v>
      </c>
      <c r="J753" t="str">
        <f t="shared" si="33"/>
        <v>Child</v>
      </c>
      <c r="K753" t="str">
        <f t="shared" si="34"/>
        <v>Low</v>
      </c>
      <c r="L753">
        <f t="shared" si="35"/>
        <v>2</v>
      </c>
    </row>
    <row r="754" spans="1:12">
      <c r="A754">
        <v>0</v>
      </c>
      <c r="B754">
        <v>3</v>
      </c>
      <c r="C754" t="s">
        <v>773</v>
      </c>
      <c r="D754" t="s">
        <v>13</v>
      </c>
      <c r="E754">
        <v>33</v>
      </c>
      <c r="F754">
        <v>0</v>
      </c>
      <c r="G754">
        <v>0</v>
      </c>
      <c r="H754">
        <v>9.5</v>
      </c>
      <c r="I754" t="s">
        <v>14</v>
      </c>
      <c r="J754" t="str">
        <f t="shared" si="33"/>
        <v>Adult</v>
      </c>
      <c r="K754" t="str">
        <f t="shared" si="34"/>
        <v>Low</v>
      </c>
      <c r="L754">
        <f t="shared" si="35"/>
        <v>1</v>
      </c>
    </row>
    <row r="755" spans="1:12">
      <c r="A755">
        <v>0</v>
      </c>
      <c r="B755">
        <v>3</v>
      </c>
      <c r="C755" t="s">
        <v>774</v>
      </c>
      <c r="D755" t="s">
        <v>13</v>
      </c>
      <c r="E755">
        <v>23</v>
      </c>
      <c r="F755">
        <v>0</v>
      </c>
      <c r="G755">
        <v>0</v>
      </c>
      <c r="H755">
        <v>7.8958000000000004</v>
      </c>
      <c r="I755" t="s">
        <v>14</v>
      </c>
      <c r="J755" t="str">
        <f t="shared" si="33"/>
        <v>Adult</v>
      </c>
      <c r="K755" t="str">
        <f t="shared" si="34"/>
        <v>Low</v>
      </c>
      <c r="L755">
        <f t="shared" si="35"/>
        <v>1</v>
      </c>
    </row>
    <row r="756" spans="1:12">
      <c r="A756">
        <v>1</v>
      </c>
      <c r="B756">
        <v>2</v>
      </c>
      <c r="C756" t="s">
        <v>775</v>
      </c>
      <c r="D756" t="s">
        <v>17</v>
      </c>
      <c r="E756">
        <v>48</v>
      </c>
      <c r="F756">
        <v>1</v>
      </c>
      <c r="G756">
        <v>2</v>
      </c>
      <c r="H756">
        <v>65</v>
      </c>
      <c r="I756" t="s">
        <v>14</v>
      </c>
      <c r="J756" t="str">
        <f t="shared" si="33"/>
        <v>Adult</v>
      </c>
      <c r="K756" t="str">
        <f t="shared" si="34"/>
        <v>High</v>
      </c>
      <c r="L756">
        <f t="shared" si="35"/>
        <v>4</v>
      </c>
    </row>
    <row r="757" spans="1:12">
      <c r="A757">
        <v>1</v>
      </c>
      <c r="B757">
        <v>2</v>
      </c>
      <c r="C757" t="s">
        <v>776</v>
      </c>
      <c r="D757" t="s">
        <v>13</v>
      </c>
      <c r="E757">
        <v>0.67</v>
      </c>
      <c r="F757">
        <v>1</v>
      </c>
      <c r="G757">
        <v>1</v>
      </c>
      <c r="H757">
        <v>14.5</v>
      </c>
      <c r="I757" t="s">
        <v>14</v>
      </c>
      <c r="J757" t="str">
        <f t="shared" si="33"/>
        <v>Child</v>
      </c>
      <c r="K757" t="str">
        <f t="shared" si="34"/>
        <v>Low</v>
      </c>
      <c r="L757">
        <f t="shared" si="35"/>
        <v>3</v>
      </c>
    </row>
    <row r="758" spans="1:12">
      <c r="A758">
        <v>0</v>
      </c>
      <c r="B758">
        <v>3</v>
      </c>
      <c r="C758" t="s">
        <v>777</v>
      </c>
      <c r="D758" t="s">
        <v>13</v>
      </c>
      <c r="E758">
        <v>28</v>
      </c>
      <c r="F758">
        <v>0</v>
      </c>
      <c r="G758">
        <v>0</v>
      </c>
      <c r="H758">
        <v>7.7957999999999998</v>
      </c>
      <c r="I758" t="s">
        <v>14</v>
      </c>
      <c r="J758" t="str">
        <f t="shared" si="33"/>
        <v>Adult</v>
      </c>
      <c r="K758" t="str">
        <f t="shared" si="34"/>
        <v>Low</v>
      </c>
      <c r="L758">
        <f t="shared" si="35"/>
        <v>1</v>
      </c>
    </row>
    <row r="759" spans="1:12">
      <c r="A759">
        <v>0</v>
      </c>
      <c r="B759">
        <v>2</v>
      </c>
      <c r="C759" t="s">
        <v>778</v>
      </c>
      <c r="D759" t="s">
        <v>13</v>
      </c>
      <c r="E759">
        <v>18</v>
      </c>
      <c r="F759">
        <v>0</v>
      </c>
      <c r="G759">
        <v>0</v>
      </c>
      <c r="H759">
        <v>11.5</v>
      </c>
      <c r="I759" t="s">
        <v>14</v>
      </c>
      <c r="J759" t="str">
        <f t="shared" si="33"/>
        <v>Adult</v>
      </c>
      <c r="K759" t="str">
        <f t="shared" si="34"/>
        <v>Low</v>
      </c>
      <c r="L759">
        <f t="shared" si="35"/>
        <v>1</v>
      </c>
    </row>
    <row r="760" spans="1:12">
      <c r="A760">
        <v>0</v>
      </c>
      <c r="B760">
        <v>3</v>
      </c>
      <c r="C760" t="s">
        <v>779</v>
      </c>
      <c r="D760" t="s">
        <v>13</v>
      </c>
      <c r="E760">
        <v>34</v>
      </c>
      <c r="F760">
        <v>0</v>
      </c>
      <c r="G760">
        <v>0</v>
      </c>
      <c r="H760">
        <v>8.0500000000000007</v>
      </c>
      <c r="I760" t="s">
        <v>14</v>
      </c>
      <c r="J760" t="str">
        <f t="shared" si="33"/>
        <v>Adult</v>
      </c>
      <c r="K760" t="str">
        <f t="shared" si="34"/>
        <v>Low</v>
      </c>
      <c r="L760">
        <f t="shared" si="35"/>
        <v>1</v>
      </c>
    </row>
    <row r="761" spans="1:12">
      <c r="A761">
        <v>1</v>
      </c>
      <c r="B761">
        <v>1</v>
      </c>
      <c r="C761" t="s">
        <v>780</v>
      </c>
      <c r="D761" t="s">
        <v>17</v>
      </c>
      <c r="E761">
        <v>33</v>
      </c>
      <c r="F761">
        <v>0</v>
      </c>
      <c r="G761">
        <v>0</v>
      </c>
      <c r="H761">
        <v>86.5</v>
      </c>
      <c r="I761" t="s">
        <v>14</v>
      </c>
      <c r="J761" t="str">
        <f t="shared" si="33"/>
        <v>Adult</v>
      </c>
      <c r="K761" t="str">
        <f t="shared" si="34"/>
        <v>High</v>
      </c>
      <c r="L761">
        <f t="shared" si="35"/>
        <v>1</v>
      </c>
    </row>
    <row r="762" spans="1:12">
      <c r="A762">
        <v>0</v>
      </c>
      <c r="B762">
        <v>3</v>
      </c>
      <c r="C762" t="s">
        <v>781</v>
      </c>
      <c r="D762" t="s">
        <v>13</v>
      </c>
      <c r="F762">
        <v>0</v>
      </c>
      <c r="G762">
        <v>0</v>
      </c>
      <c r="H762">
        <v>14.5</v>
      </c>
      <c r="I762" t="s">
        <v>14</v>
      </c>
      <c r="J762" t="str">
        <f t="shared" si="33"/>
        <v>Child</v>
      </c>
      <c r="K762" t="str">
        <f t="shared" si="34"/>
        <v>Low</v>
      </c>
      <c r="L762">
        <f t="shared" si="35"/>
        <v>1</v>
      </c>
    </row>
    <row r="763" spans="1:12">
      <c r="A763">
        <v>0</v>
      </c>
      <c r="B763">
        <v>3</v>
      </c>
      <c r="C763" t="s">
        <v>782</v>
      </c>
      <c r="D763" t="s">
        <v>13</v>
      </c>
      <c r="E763">
        <v>41</v>
      </c>
      <c r="F763">
        <v>0</v>
      </c>
      <c r="G763">
        <v>0</v>
      </c>
      <c r="H763">
        <v>7.125</v>
      </c>
      <c r="I763" t="s">
        <v>14</v>
      </c>
      <c r="J763" t="str">
        <f t="shared" si="33"/>
        <v>Adult</v>
      </c>
      <c r="K763" t="str">
        <f t="shared" si="34"/>
        <v>Low</v>
      </c>
      <c r="L763">
        <f t="shared" si="35"/>
        <v>1</v>
      </c>
    </row>
    <row r="764" spans="1:12">
      <c r="A764">
        <v>1</v>
      </c>
      <c r="B764">
        <v>3</v>
      </c>
      <c r="C764" t="s">
        <v>783</v>
      </c>
      <c r="D764" t="s">
        <v>13</v>
      </c>
      <c r="E764">
        <v>20</v>
      </c>
      <c r="F764">
        <v>0</v>
      </c>
      <c r="G764">
        <v>0</v>
      </c>
      <c r="H764">
        <v>7.2291999999999996</v>
      </c>
      <c r="I764" t="s">
        <v>18</v>
      </c>
      <c r="J764" t="str">
        <f t="shared" si="33"/>
        <v>Adult</v>
      </c>
      <c r="K764" t="str">
        <f t="shared" si="34"/>
        <v>Low</v>
      </c>
      <c r="L764">
        <f t="shared" si="35"/>
        <v>1</v>
      </c>
    </row>
    <row r="765" spans="1:12">
      <c r="A765">
        <v>1</v>
      </c>
      <c r="B765">
        <v>1</v>
      </c>
      <c r="C765" t="s">
        <v>784</v>
      </c>
      <c r="D765" t="s">
        <v>17</v>
      </c>
      <c r="E765">
        <v>36</v>
      </c>
      <c r="F765">
        <v>1</v>
      </c>
      <c r="G765">
        <v>2</v>
      </c>
      <c r="H765">
        <v>120</v>
      </c>
      <c r="I765" t="s">
        <v>14</v>
      </c>
      <c r="J765" t="str">
        <f t="shared" si="33"/>
        <v>Adult</v>
      </c>
      <c r="K765" t="str">
        <f t="shared" si="34"/>
        <v>High</v>
      </c>
      <c r="L765">
        <f t="shared" si="35"/>
        <v>4</v>
      </c>
    </row>
    <row r="766" spans="1:12">
      <c r="A766">
        <v>0</v>
      </c>
      <c r="B766">
        <v>3</v>
      </c>
      <c r="C766" t="s">
        <v>785</v>
      </c>
      <c r="D766" t="s">
        <v>13</v>
      </c>
      <c r="E766">
        <v>16</v>
      </c>
      <c r="F766">
        <v>0</v>
      </c>
      <c r="G766">
        <v>0</v>
      </c>
      <c r="H766">
        <v>7.7750000000000004</v>
      </c>
      <c r="I766" t="s">
        <v>14</v>
      </c>
      <c r="J766" t="str">
        <f t="shared" si="33"/>
        <v>Child</v>
      </c>
      <c r="K766" t="str">
        <f t="shared" si="34"/>
        <v>Low</v>
      </c>
      <c r="L766">
        <f t="shared" si="35"/>
        <v>1</v>
      </c>
    </row>
    <row r="767" spans="1:12">
      <c r="A767">
        <v>1</v>
      </c>
      <c r="B767">
        <v>1</v>
      </c>
      <c r="C767" t="s">
        <v>786</v>
      </c>
      <c r="D767" t="s">
        <v>17</v>
      </c>
      <c r="E767">
        <v>51</v>
      </c>
      <c r="F767">
        <v>1</v>
      </c>
      <c r="G767">
        <v>0</v>
      </c>
      <c r="H767">
        <v>77.958299999999994</v>
      </c>
      <c r="I767" t="s">
        <v>14</v>
      </c>
      <c r="J767" t="str">
        <f t="shared" si="33"/>
        <v>Adult</v>
      </c>
      <c r="K767" t="str">
        <f t="shared" si="34"/>
        <v>High</v>
      </c>
      <c r="L767">
        <f t="shared" si="35"/>
        <v>2</v>
      </c>
    </row>
    <row r="768" spans="1:12">
      <c r="A768">
        <v>0</v>
      </c>
      <c r="B768">
        <v>1</v>
      </c>
      <c r="C768" t="s">
        <v>787</v>
      </c>
      <c r="D768" t="s">
        <v>13</v>
      </c>
      <c r="F768">
        <v>0</v>
      </c>
      <c r="G768">
        <v>0</v>
      </c>
      <c r="H768">
        <v>39.6</v>
      </c>
      <c r="I768" t="s">
        <v>18</v>
      </c>
      <c r="J768" t="str">
        <f t="shared" si="33"/>
        <v>Child</v>
      </c>
      <c r="K768" t="str">
        <f t="shared" si="34"/>
        <v>Low</v>
      </c>
      <c r="L768">
        <f t="shared" si="35"/>
        <v>1</v>
      </c>
    </row>
    <row r="769" spans="1:12">
      <c r="A769">
        <v>0</v>
      </c>
      <c r="B769">
        <v>3</v>
      </c>
      <c r="C769" t="s">
        <v>788</v>
      </c>
      <c r="D769" t="s">
        <v>17</v>
      </c>
      <c r="E769">
        <v>30.5</v>
      </c>
      <c r="F769">
        <v>0</v>
      </c>
      <c r="G769">
        <v>0</v>
      </c>
      <c r="H769">
        <v>7.75</v>
      </c>
      <c r="I769" t="s">
        <v>26</v>
      </c>
      <c r="J769" t="str">
        <f t="shared" si="33"/>
        <v>Adult</v>
      </c>
      <c r="K769" t="str">
        <f t="shared" si="34"/>
        <v>Low</v>
      </c>
      <c r="L769">
        <f t="shared" si="35"/>
        <v>1</v>
      </c>
    </row>
    <row r="770" spans="1:12">
      <c r="A770">
        <v>0</v>
      </c>
      <c r="B770">
        <v>3</v>
      </c>
      <c r="C770" t="s">
        <v>789</v>
      </c>
      <c r="D770" t="s">
        <v>13</v>
      </c>
      <c r="F770">
        <v>1</v>
      </c>
      <c r="G770">
        <v>0</v>
      </c>
      <c r="H770">
        <v>24.15</v>
      </c>
      <c r="I770" t="s">
        <v>26</v>
      </c>
      <c r="J770" t="str">
        <f t="shared" si="33"/>
        <v>Child</v>
      </c>
      <c r="K770" t="str">
        <f t="shared" si="34"/>
        <v>Low</v>
      </c>
      <c r="L770">
        <f t="shared" si="35"/>
        <v>2</v>
      </c>
    </row>
    <row r="771" spans="1:12">
      <c r="A771">
        <v>0</v>
      </c>
      <c r="B771">
        <v>3</v>
      </c>
      <c r="C771" t="s">
        <v>790</v>
      </c>
      <c r="D771" t="s">
        <v>13</v>
      </c>
      <c r="E771">
        <v>32</v>
      </c>
      <c r="F771">
        <v>0</v>
      </c>
      <c r="G771">
        <v>0</v>
      </c>
      <c r="H771">
        <v>8.3625000000000007</v>
      </c>
      <c r="I771" t="s">
        <v>14</v>
      </c>
      <c r="J771" t="str">
        <f t="shared" ref="J771:J834" si="36">IF(E771&lt;18,"Child","Adult")</f>
        <v>Adult</v>
      </c>
      <c r="K771" t="str">
        <f t="shared" ref="K771:K834" si="37">IF(H771&gt;50,"High","Low")</f>
        <v>Low</v>
      </c>
      <c r="L771">
        <f t="shared" ref="L771:L834" si="38">F771+G771+1</f>
        <v>1</v>
      </c>
    </row>
    <row r="772" spans="1:12">
      <c r="A772">
        <v>0</v>
      </c>
      <c r="B772">
        <v>3</v>
      </c>
      <c r="C772" t="s">
        <v>791</v>
      </c>
      <c r="D772" t="s">
        <v>13</v>
      </c>
      <c r="E772">
        <v>24</v>
      </c>
      <c r="F772">
        <v>0</v>
      </c>
      <c r="G772">
        <v>0</v>
      </c>
      <c r="H772">
        <v>9.5</v>
      </c>
      <c r="I772" t="s">
        <v>14</v>
      </c>
      <c r="J772" t="str">
        <f t="shared" si="36"/>
        <v>Adult</v>
      </c>
      <c r="K772" t="str">
        <f t="shared" si="37"/>
        <v>Low</v>
      </c>
      <c r="L772">
        <f t="shared" si="38"/>
        <v>1</v>
      </c>
    </row>
    <row r="773" spans="1:12">
      <c r="A773">
        <v>0</v>
      </c>
      <c r="B773">
        <v>3</v>
      </c>
      <c r="C773" t="s">
        <v>792</v>
      </c>
      <c r="D773" t="s">
        <v>13</v>
      </c>
      <c r="E773">
        <v>48</v>
      </c>
      <c r="F773">
        <v>0</v>
      </c>
      <c r="G773">
        <v>0</v>
      </c>
      <c r="H773">
        <v>7.8541999999999996</v>
      </c>
      <c r="I773" t="s">
        <v>14</v>
      </c>
      <c r="J773" t="str">
        <f t="shared" si="36"/>
        <v>Adult</v>
      </c>
      <c r="K773" t="str">
        <f t="shared" si="37"/>
        <v>Low</v>
      </c>
      <c r="L773">
        <f t="shared" si="38"/>
        <v>1</v>
      </c>
    </row>
    <row r="774" spans="1:12">
      <c r="A774">
        <v>0</v>
      </c>
      <c r="B774">
        <v>2</v>
      </c>
      <c r="C774" t="s">
        <v>793</v>
      </c>
      <c r="D774" t="s">
        <v>17</v>
      </c>
      <c r="E774">
        <v>57</v>
      </c>
      <c r="F774">
        <v>0</v>
      </c>
      <c r="G774">
        <v>0</v>
      </c>
      <c r="H774">
        <v>10.5</v>
      </c>
      <c r="I774" t="s">
        <v>14</v>
      </c>
      <c r="J774" t="str">
        <f t="shared" si="36"/>
        <v>Adult</v>
      </c>
      <c r="K774" t="str">
        <f t="shared" si="37"/>
        <v>Low</v>
      </c>
      <c r="L774">
        <f t="shared" si="38"/>
        <v>1</v>
      </c>
    </row>
    <row r="775" spans="1:12">
      <c r="A775">
        <v>0</v>
      </c>
      <c r="B775">
        <v>3</v>
      </c>
      <c r="C775" t="s">
        <v>794</v>
      </c>
      <c r="D775" t="s">
        <v>13</v>
      </c>
      <c r="F775">
        <v>0</v>
      </c>
      <c r="G775">
        <v>0</v>
      </c>
      <c r="H775">
        <v>7.2249999999999996</v>
      </c>
      <c r="I775" t="s">
        <v>18</v>
      </c>
      <c r="J775" t="str">
        <f t="shared" si="36"/>
        <v>Child</v>
      </c>
      <c r="K775" t="str">
        <f t="shared" si="37"/>
        <v>Low</v>
      </c>
      <c r="L775">
        <f t="shared" si="38"/>
        <v>1</v>
      </c>
    </row>
    <row r="776" spans="1:12">
      <c r="A776">
        <v>1</v>
      </c>
      <c r="B776">
        <v>2</v>
      </c>
      <c r="C776" t="s">
        <v>795</v>
      </c>
      <c r="D776" t="s">
        <v>17</v>
      </c>
      <c r="E776">
        <v>54</v>
      </c>
      <c r="F776">
        <v>1</v>
      </c>
      <c r="G776">
        <v>3</v>
      </c>
      <c r="H776">
        <v>23</v>
      </c>
      <c r="I776" t="s">
        <v>14</v>
      </c>
      <c r="J776" t="str">
        <f t="shared" si="36"/>
        <v>Adult</v>
      </c>
      <c r="K776" t="str">
        <f t="shared" si="37"/>
        <v>Low</v>
      </c>
      <c r="L776">
        <f t="shared" si="38"/>
        <v>5</v>
      </c>
    </row>
    <row r="777" spans="1:12">
      <c r="A777">
        <v>0</v>
      </c>
      <c r="B777">
        <v>3</v>
      </c>
      <c r="C777" t="s">
        <v>796</v>
      </c>
      <c r="D777" t="s">
        <v>13</v>
      </c>
      <c r="E777">
        <v>18</v>
      </c>
      <c r="F777">
        <v>0</v>
      </c>
      <c r="G777">
        <v>0</v>
      </c>
      <c r="H777">
        <v>7.75</v>
      </c>
      <c r="I777" t="s">
        <v>14</v>
      </c>
      <c r="J777" t="str">
        <f t="shared" si="36"/>
        <v>Adult</v>
      </c>
      <c r="K777" t="str">
        <f t="shared" si="37"/>
        <v>Low</v>
      </c>
      <c r="L777">
        <f t="shared" si="38"/>
        <v>1</v>
      </c>
    </row>
    <row r="778" spans="1:12">
      <c r="A778">
        <v>0</v>
      </c>
      <c r="B778">
        <v>3</v>
      </c>
      <c r="C778" t="s">
        <v>797</v>
      </c>
      <c r="D778" t="s">
        <v>13</v>
      </c>
      <c r="F778">
        <v>0</v>
      </c>
      <c r="G778">
        <v>0</v>
      </c>
      <c r="H778">
        <v>7.75</v>
      </c>
      <c r="I778" t="s">
        <v>26</v>
      </c>
      <c r="J778" t="str">
        <f t="shared" si="36"/>
        <v>Child</v>
      </c>
      <c r="K778" t="str">
        <f t="shared" si="37"/>
        <v>Low</v>
      </c>
      <c r="L778">
        <f t="shared" si="38"/>
        <v>1</v>
      </c>
    </row>
    <row r="779" spans="1:12">
      <c r="A779">
        <v>1</v>
      </c>
      <c r="B779">
        <v>3</v>
      </c>
      <c r="C779" t="s">
        <v>798</v>
      </c>
      <c r="D779" t="s">
        <v>17</v>
      </c>
      <c r="E779">
        <v>5</v>
      </c>
      <c r="F779">
        <v>0</v>
      </c>
      <c r="G779">
        <v>0</v>
      </c>
      <c r="H779">
        <v>12.475</v>
      </c>
      <c r="I779" t="s">
        <v>14</v>
      </c>
      <c r="J779" t="str">
        <f t="shared" si="36"/>
        <v>Child</v>
      </c>
      <c r="K779" t="str">
        <f t="shared" si="37"/>
        <v>Low</v>
      </c>
      <c r="L779">
        <f t="shared" si="38"/>
        <v>1</v>
      </c>
    </row>
    <row r="780" spans="1:12">
      <c r="A780">
        <v>0</v>
      </c>
      <c r="B780">
        <v>3</v>
      </c>
      <c r="C780" t="s">
        <v>799</v>
      </c>
      <c r="D780" t="s">
        <v>13</v>
      </c>
      <c r="F780">
        <v>0</v>
      </c>
      <c r="G780">
        <v>0</v>
      </c>
      <c r="H780">
        <v>7.7374999999999998</v>
      </c>
      <c r="I780" t="s">
        <v>26</v>
      </c>
      <c r="J780" t="str">
        <f t="shared" si="36"/>
        <v>Child</v>
      </c>
      <c r="K780" t="str">
        <f t="shared" si="37"/>
        <v>Low</v>
      </c>
      <c r="L780">
        <f t="shared" si="38"/>
        <v>1</v>
      </c>
    </row>
    <row r="781" spans="1:12">
      <c r="A781">
        <v>1</v>
      </c>
      <c r="B781">
        <v>1</v>
      </c>
      <c r="C781" t="s">
        <v>800</v>
      </c>
      <c r="D781" t="s">
        <v>17</v>
      </c>
      <c r="E781">
        <v>43</v>
      </c>
      <c r="F781">
        <v>0</v>
      </c>
      <c r="G781">
        <v>1</v>
      </c>
      <c r="H781">
        <v>211.33750000000001</v>
      </c>
      <c r="I781" t="s">
        <v>14</v>
      </c>
      <c r="J781" t="str">
        <f t="shared" si="36"/>
        <v>Adult</v>
      </c>
      <c r="K781" t="str">
        <f t="shared" si="37"/>
        <v>High</v>
      </c>
      <c r="L781">
        <f t="shared" si="38"/>
        <v>2</v>
      </c>
    </row>
    <row r="782" spans="1:12">
      <c r="A782">
        <v>1</v>
      </c>
      <c r="B782">
        <v>3</v>
      </c>
      <c r="C782" t="s">
        <v>801</v>
      </c>
      <c r="D782" t="s">
        <v>17</v>
      </c>
      <c r="E782">
        <v>13</v>
      </c>
      <c r="F782">
        <v>0</v>
      </c>
      <c r="G782">
        <v>0</v>
      </c>
      <c r="H782">
        <v>7.2291999999999996</v>
      </c>
      <c r="I782" t="s">
        <v>18</v>
      </c>
      <c r="J782" t="str">
        <f t="shared" si="36"/>
        <v>Child</v>
      </c>
      <c r="K782" t="str">
        <f t="shared" si="37"/>
        <v>Low</v>
      </c>
      <c r="L782">
        <f t="shared" si="38"/>
        <v>1</v>
      </c>
    </row>
    <row r="783" spans="1:12">
      <c r="A783">
        <v>1</v>
      </c>
      <c r="B783">
        <v>1</v>
      </c>
      <c r="C783" t="s">
        <v>802</v>
      </c>
      <c r="D783" t="s">
        <v>17</v>
      </c>
      <c r="E783">
        <v>17</v>
      </c>
      <c r="F783">
        <v>1</v>
      </c>
      <c r="G783">
        <v>0</v>
      </c>
      <c r="H783">
        <v>57</v>
      </c>
      <c r="I783" t="s">
        <v>14</v>
      </c>
      <c r="J783" t="str">
        <f t="shared" si="36"/>
        <v>Child</v>
      </c>
      <c r="K783" t="str">
        <f t="shared" si="37"/>
        <v>High</v>
      </c>
      <c r="L783">
        <f t="shared" si="38"/>
        <v>2</v>
      </c>
    </row>
    <row r="784" spans="1:12">
      <c r="A784">
        <v>0</v>
      </c>
      <c r="B784">
        <v>1</v>
      </c>
      <c r="C784" t="s">
        <v>803</v>
      </c>
      <c r="D784" t="s">
        <v>13</v>
      </c>
      <c r="E784">
        <v>29</v>
      </c>
      <c r="F784">
        <v>0</v>
      </c>
      <c r="G784">
        <v>0</v>
      </c>
      <c r="H784">
        <v>30</v>
      </c>
      <c r="I784" t="s">
        <v>14</v>
      </c>
      <c r="J784" t="str">
        <f t="shared" si="36"/>
        <v>Adult</v>
      </c>
      <c r="K784" t="str">
        <f t="shared" si="37"/>
        <v>Low</v>
      </c>
      <c r="L784">
        <f t="shared" si="38"/>
        <v>1</v>
      </c>
    </row>
    <row r="785" spans="1:12">
      <c r="A785">
        <v>0</v>
      </c>
      <c r="B785">
        <v>3</v>
      </c>
      <c r="C785" t="s">
        <v>804</v>
      </c>
      <c r="D785" t="s">
        <v>13</v>
      </c>
      <c r="F785">
        <v>1</v>
      </c>
      <c r="G785">
        <v>2</v>
      </c>
      <c r="H785">
        <v>23.45</v>
      </c>
      <c r="I785" t="s">
        <v>14</v>
      </c>
      <c r="J785" t="str">
        <f t="shared" si="36"/>
        <v>Child</v>
      </c>
      <c r="K785" t="str">
        <f t="shared" si="37"/>
        <v>Low</v>
      </c>
      <c r="L785">
        <f t="shared" si="38"/>
        <v>4</v>
      </c>
    </row>
    <row r="786" spans="1:12">
      <c r="A786">
        <v>0</v>
      </c>
      <c r="B786">
        <v>3</v>
      </c>
      <c r="C786" t="s">
        <v>805</v>
      </c>
      <c r="D786" t="s">
        <v>13</v>
      </c>
      <c r="E786">
        <v>25</v>
      </c>
      <c r="F786">
        <v>0</v>
      </c>
      <c r="G786">
        <v>0</v>
      </c>
      <c r="H786">
        <v>7.05</v>
      </c>
      <c r="I786" t="s">
        <v>14</v>
      </c>
      <c r="J786" t="str">
        <f t="shared" si="36"/>
        <v>Adult</v>
      </c>
      <c r="K786" t="str">
        <f t="shared" si="37"/>
        <v>Low</v>
      </c>
      <c r="L786">
        <f t="shared" si="38"/>
        <v>1</v>
      </c>
    </row>
    <row r="787" spans="1:12">
      <c r="A787">
        <v>0</v>
      </c>
      <c r="B787">
        <v>3</v>
      </c>
      <c r="C787" t="s">
        <v>806</v>
      </c>
      <c r="D787" t="s">
        <v>13</v>
      </c>
      <c r="E787">
        <v>25</v>
      </c>
      <c r="F787">
        <v>0</v>
      </c>
      <c r="G787">
        <v>0</v>
      </c>
      <c r="H787">
        <v>7.25</v>
      </c>
      <c r="I787" t="s">
        <v>14</v>
      </c>
      <c r="J787" t="str">
        <f t="shared" si="36"/>
        <v>Adult</v>
      </c>
      <c r="K787" t="str">
        <f t="shared" si="37"/>
        <v>Low</v>
      </c>
      <c r="L787">
        <f t="shared" si="38"/>
        <v>1</v>
      </c>
    </row>
    <row r="788" spans="1:12">
      <c r="A788">
        <v>1</v>
      </c>
      <c r="B788">
        <v>3</v>
      </c>
      <c r="C788" t="s">
        <v>807</v>
      </c>
      <c r="D788" t="s">
        <v>17</v>
      </c>
      <c r="E788">
        <v>18</v>
      </c>
      <c r="F788">
        <v>0</v>
      </c>
      <c r="G788">
        <v>0</v>
      </c>
      <c r="H788">
        <v>7.4958</v>
      </c>
      <c r="I788" t="s">
        <v>14</v>
      </c>
      <c r="J788" t="str">
        <f t="shared" si="36"/>
        <v>Adult</v>
      </c>
      <c r="K788" t="str">
        <f t="shared" si="37"/>
        <v>Low</v>
      </c>
      <c r="L788">
        <f t="shared" si="38"/>
        <v>1</v>
      </c>
    </row>
    <row r="789" spans="1:12">
      <c r="A789">
        <v>0</v>
      </c>
      <c r="B789">
        <v>3</v>
      </c>
      <c r="C789" t="s">
        <v>808</v>
      </c>
      <c r="D789" t="s">
        <v>13</v>
      </c>
      <c r="E789">
        <v>8</v>
      </c>
      <c r="F789">
        <v>4</v>
      </c>
      <c r="G789">
        <v>1</v>
      </c>
      <c r="H789">
        <v>29.125</v>
      </c>
      <c r="I789" t="s">
        <v>26</v>
      </c>
      <c r="J789" t="str">
        <f t="shared" si="36"/>
        <v>Child</v>
      </c>
      <c r="K789" t="str">
        <f t="shared" si="37"/>
        <v>Low</v>
      </c>
      <c r="L789">
        <f t="shared" si="38"/>
        <v>6</v>
      </c>
    </row>
    <row r="790" spans="1:12">
      <c r="A790">
        <v>1</v>
      </c>
      <c r="B790">
        <v>3</v>
      </c>
      <c r="C790" t="s">
        <v>809</v>
      </c>
      <c r="D790" t="s">
        <v>13</v>
      </c>
      <c r="E790">
        <v>1</v>
      </c>
      <c r="F790">
        <v>1</v>
      </c>
      <c r="G790">
        <v>2</v>
      </c>
      <c r="H790">
        <v>20.574999999999999</v>
      </c>
      <c r="I790" t="s">
        <v>14</v>
      </c>
      <c r="J790" t="str">
        <f t="shared" si="36"/>
        <v>Child</v>
      </c>
      <c r="K790" t="str">
        <f t="shared" si="37"/>
        <v>Low</v>
      </c>
      <c r="L790">
        <f t="shared" si="38"/>
        <v>4</v>
      </c>
    </row>
    <row r="791" spans="1:12">
      <c r="A791">
        <v>0</v>
      </c>
      <c r="B791">
        <v>1</v>
      </c>
      <c r="C791" t="s">
        <v>810</v>
      </c>
      <c r="D791" t="s">
        <v>13</v>
      </c>
      <c r="E791">
        <v>46</v>
      </c>
      <c r="F791">
        <v>0</v>
      </c>
      <c r="G791">
        <v>0</v>
      </c>
      <c r="H791">
        <v>79.2</v>
      </c>
      <c r="I791" t="s">
        <v>18</v>
      </c>
      <c r="J791" t="str">
        <f t="shared" si="36"/>
        <v>Adult</v>
      </c>
      <c r="K791" t="str">
        <f t="shared" si="37"/>
        <v>High</v>
      </c>
      <c r="L791">
        <f t="shared" si="38"/>
        <v>1</v>
      </c>
    </row>
    <row r="792" spans="1:12">
      <c r="A792">
        <v>0</v>
      </c>
      <c r="B792">
        <v>3</v>
      </c>
      <c r="C792" t="s">
        <v>811</v>
      </c>
      <c r="D792" t="s">
        <v>13</v>
      </c>
      <c r="F792">
        <v>0</v>
      </c>
      <c r="G792">
        <v>0</v>
      </c>
      <c r="H792">
        <v>7.75</v>
      </c>
      <c r="I792" t="s">
        <v>26</v>
      </c>
      <c r="J792" t="str">
        <f t="shared" si="36"/>
        <v>Child</v>
      </c>
      <c r="K792" t="str">
        <f t="shared" si="37"/>
        <v>Low</v>
      </c>
      <c r="L792">
        <f t="shared" si="38"/>
        <v>1</v>
      </c>
    </row>
    <row r="793" spans="1:12">
      <c r="A793">
        <v>0</v>
      </c>
      <c r="B793">
        <v>2</v>
      </c>
      <c r="C793" t="s">
        <v>812</v>
      </c>
      <c r="D793" t="s">
        <v>13</v>
      </c>
      <c r="E793">
        <v>16</v>
      </c>
      <c r="F793">
        <v>0</v>
      </c>
      <c r="G793">
        <v>0</v>
      </c>
      <c r="H793">
        <v>26</v>
      </c>
      <c r="I793" t="s">
        <v>14</v>
      </c>
      <c r="J793" t="str">
        <f t="shared" si="36"/>
        <v>Child</v>
      </c>
      <c r="K793" t="str">
        <f t="shared" si="37"/>
        <v>Low</v>
      </c>
      <c r="L793">
        <f t="shared" si="38"/>
        <v>1</v>
      </c>
    </row>
    <row r="794" spans="1:12">
      <c r="A794">
        <v>0</v>
      </c>
      <c r="B794">
        <v>3</v>
      </c>
      <c r="C794" t="s">
        <v>813</v>
      </c>
      <c r="D794" t="s">
        <v>17</v>
      </c>
      <c r="F794">
        <v>8</v>
      </c>
      <c r="G794">
        <v>2</v>
      </c>
      <c r="H794">
        <v>69.55</v>
      </c>
      <c r="I794" t="s">
        <v>14</v>
      </c>
      <c r="J794" t="str">
        <f t="shared" si="36"/>
        <v>Child</v>
      </c>
      <c r="K794" t="str">
        <f t="shared" si="37"/>
        <v>High</v>
      </c>
      <c r="L794">
        <f t="shared" si="38"/>
        <v>11</v>
      </c>
    </row>
    <row r="795" spans="1:12">
      <c r="A795">
        <v>0</v>
      </c>
      <c r="B795">
        <v>1</v>
      </c>
      <c r="C795" t="s">
        <v>814</v>
      </c>
      <c r="D795" t="s">
        <v>13</v>
      </c>
      <c r="F795">
        <v>0</v>
      </c>
      <c r="G795">
        <v>0</v>
      </c>
      <c r="H795">
        <v>30.695799999999998</v>
      </c>
      <c r="I795" t="s">
        <v>18</v>
      </c>
      <c r="J795" t="str">
        <f t="shared" si="36"/>
        <v>Child</v>
      </c>
      <c r="K795" t="str">
        <f t="shared" si="37"/>
        <v>Low</v>
      </c>
      <c r="L795">
        <f t="shared" si="38"/>
        <v>1</v>
      </c>
    </row>
    <row r="796" spans="1:12">
      <c r="A796">
        <v>0</v>
      </c>
      <c r="B796">
        <v>3</v>
      </c>
      <c r="C796" t="s">
        <v>815</v>
      </c>
      <c r="D796" t="s">
        <v>13</v>
      </c>
      <c r="E796">
        <v>25</v>
      </c>
      <c r="F796">
        <v>0</v>
      </c>
      <c r="G796">
        <v>0</v>
      </c>
      <c r="H796">
        <v>7.8958000000000004</v>
      </c>
      <c r="I796" t="s">
        <v>14</v>
      </c>
      <c r="J796" t="str">
        <f t="shared" si="36"/>
        <v>Adult</v>
      </c>
      <c r="K796" t="str">
        <f t="shared" si="37"/>
        <v>Low</v>
      </c>
      <c r="L796">
        <f t="shared" si="38"/>
        <v>1</v>
      </c>
    </row>
    <row r="797" spans="1:12">
      <c r="A797">
        <v>0</v>
      </c>
      <c r="B797">
        <v>2</v>
      </c>
      <c r="C797" t="s">
        <v>816</v>
      </c>
      <c r="D797" t="s">
        <v>13</v>
      </c>
      <c r="E797">
        <v>39</v>
      </c>
      <c r="F797">
        <v>0</v>
      </c>
      <c r="G797">
        <v>0</v>
      </c>
      <c r="H797">
        <v>13</v>
      </c>
      <c r="I797" t="s">
        <v>14</v>
      </c>
      <c r="J797" t="str">
        <f t="shared" si="36"/>
        <v>Adult</v>
      </c>
      <c r="K797" t="str">
        <f t="shared" si="37"/>
        <v>Low</v>
      </c>
      <c r="L797">
        <f t="shared" si="38"/>
        <v>1</v>
      </c>
    </row>
    <row r="798" spans="1:12">
      <c r="A798">
        <v>1</v>
      </c>
      <c r="B798">
        <v>1</v>
      </c>
      <c r="C798" t="s">
        <v>817</v>
      </c>
      <c r="D798" t="s">
        <v>17</v>
      </c>
      <c r="E798">
        <v>49</v>
      </c>
      <c r="F798">
        <v>0</v>
      </c>
      <c r="G798">
        <v>0</v>
      </c>
      <c r="H798">
        <v>25.929200000000002</v>
      </c>
      <c r="I798" t="s">
        <v>14</v>
      </c>
      <c r="J798" t="str">
        <f t="shared" si="36"/>
        <v>Adult</v>
      </c>
      <c r="K798" t="str">
        <f t="shared" si="37"/>
        <v>Low</v>
      </c>
      <c r="L798">
        <f t="shared" si="38"/>
        <v>1</v>
      </c>
    </row>
    <row r="799" spans="1:12">
      <c r="A799">
        <v>1</v>
      </c>
      <c r="B799">
        <v>3</v>
      </c>
      <c r="C799" t="s">
        <v>818</v>
      </c>
      <c r="D799" t="s">
        <v>17</v>
      </c>
      <c r="E799">
        <v>31</v>
      </c>
      <c r="F799">
        <v>0</v>
      </c>
      <c r="G799">
        <v>0</v>
      </c>
      <c r="H799">
        <v>8.6832999999999991</v>
      </c>
      <c r="I799" t="s">
        <v>14</v>
      </c>
      <c r="J799" t="str">
        <f t="shared" si="36"/>
        <v>Adult</v>
      </c>
      <c r="K799" t="str">
        <f t="shared" si="37"/>
        <v>Low</v>
      </c>
      <c r="L799">
        <f t="shared" si="38"/>
        <v>1</v>
      </c>
    </row>
    <row r="800" spans="1:12">
      <c r="A800">
        <v>0</v>
      </c>
      <c r="B800">
        <v>3</v>
      </c>
      <c r="C800" t="s">
        <v>819</v>
      </c>
      <c r="D800" t="s">
        <v>13</v>
      </c>
      <c r="E800">
        <v>30</v>
      </c>
      <c r="F800">
        <v>0</v>
      </c>
      <c r="G800">
        <v>0</v>
      </c>
      <c r="H800">
        <v>7.2291999999999996</v>
      </c>
      <c r="I800" t="s">
        <v>18</v>
      </c>
      <c r="J800" t="str">
        <f t="shared" si="36"/>
        <v>Adult</v>
      </c>
      <c r="K800" t="str">
        <f t="shared" si="37"/>
        <v>Low</v>
      </c>
      <c r="L800">
        <f t="shared" si="38"/>
        <v>1</v>
      </c>
    </row>
    <row r="801" spans="1:12">
      <c r="A801">
        <v>0</v>
      </c>
      <c r="B801">
        <v>3</v>
      </c>
      <c r="C801" t="s">
        <v>820</v>
      </c>
      <c r="D801" t="s">
        <v>17</v>
      </c>
      <c r="E801">
        <v>30</v>
      </c>
      <c r="F801">
        <v>1</v>
      </c>
      <c r="G801">
        <v>1</v>
      </c>
      <c r="H801">
        <v>24.15</v>
      </c>
      <c r="I801" t="s">
        <v>14</v>
      </c>
      <c r="J801" t="str">
        <f t="shared" si="36"/>
        <v>Adult</v>
      </c>
      <c r="K801" t="str">
        <f t="shared" si="37"/>
        <v>Low</v>
      </c>
      <c r="L801">
        <f t="shared" si="38"/>
        <v>3</v>
      </c>
    </row>
    <row r="802" spans="1:12">
      <c r="A802">
        <v>0</v>
      </c>
      <c r="B802">
        <v>2</v>
      </c>
      <c r="C802" t="s">
        <v>821</v>
      </c>
      <c r="D802" t="s">
        <v>13</v>
      </c>
      <c r="E802">
        <v>34</v>
      </c>
      <c r="F802">
        <v>0</v>
      </c>
      <c r="G802">
        <v>0</v>
      </c>
      <c r="H802">
        <v>13</v>
      </c>
      <c r="I802" t="s">
        <v>14</v>
      </c>
      <c r="J802" t="str">
        <f t="shared" si="36"/>
        <v>Adult</v>
      </c>
      <c r="K802" t="str">
        <f t="shared" si="37"/>
        <v>Low</v>
      </c>
      <c r="L802">
        <f t="shared" si="38"/>
        <v>1</v>
      </c>
    </row>
    <row r="803" spans="1:12">
      <c r="A803">
        <v>1</v>
      </c>
      <c r="B803">
        <v>2</v>
      </c>
      <c r="C803" t="s">
        <v>822</v>
      </c>
      <c r="D803" t="s">
        <v>17</v>
      </c>
      <c r="E803">
        <v>31</v>
      </c>
      <c r="F803">
        <v>1</v>
      </c>
      <c r="G803">
        <v>1</v>
      </c>
      <c r="H803">
        <v>26.25</v>
      </c>
      <c r="I803" t="s">
        <v>14</v>
      </c>
      <c r="J803" t="str">
        <f t="shared" si="36"/>
        <v>Adult</v>
      </c>
      <c r="K803" t="str">
        <f t="shared" si="37"/>
        <v>Low</v>
      </c>
      <c r="L803">
        <f t="shared" si="38"/>
        <v>3</v>
      </c>
    </row>
    <row r="804" spans="1:12">
      <c r="A804">
        <v>1</v>
      </c>
      <c r="B804">
        <v>1</v>
      </c>
      <c r="C804" t="s">
        <v>823</v>
      </c>
      <c r="D804" t="s">
        <v>13</v>
      </c>
      <c r="E804">
        <v>11</v>
      </c>
      <c r="F804">
        <v>1</v>
      </c>
      <c r="G804">
        <v>2</v>
      </c>
      <c r="H804">
        <v>120</v>
      </c>
      <c r="I804" t="s">
        <v>14</v>
      </c>
      <c r="J804" t="str">
        <f t="shared" si="36"/>
        <v>Child</v>
      </c>
      <c r="K804" t="str">
        <f t="shared" si="37"/>
        <v>High</v>
      </c>
      <c r="L804">
        <f t="shared" si="38"/>
        <v>4</v>
      </c>
    </row>
    <row r="805" spans="1:12">
      <c r="A805">
        <v>1</v>
      </c>
      <c r="B805">
        <v>3</v>
      </c>
      <c r="C805" t="s">
        <v>824</v>
      </c>
      <c r="D805" t="s">
        <v>13</v>
      </c>
      <c r="E805">
        <v>0.42</v>
      </c>
      <c r="F805">
        <v>0</v>
      </c>
      <c r="G805">
        <v>1</v>
      </c>
      <c r="H805">
        <v>8.5167000000000002</v>
      </c>
      <c r="I805" t="s">
        <v>18</v>
      </c>
      <c r="J805" t="str">
        <f t="shared" si="36"/>
        <v>Child</v>
      </c>
      <c r="K805" t="str">
        <f t="shared" si="37"/>
        <v>Low</v>
      </c>
      <c r="L805">
        <f t="shared" si="38"/>
        <v>2</v>
      </c>
    </row>
    <row r="806" spans="1:12">
      <c r="A806">
        <v>1</v>
      </c>
      <c r="B806">
        <v>3</v>
      </c>
      <c r="C806" t="s">
        <v>825</v>
      </c>
      <c r="D806" t="s">
        <v>13</v>
      </c>
      <c r="E806">
        <v>27</v>
      </c>
      <c r="F806">
        <v>0</v>
      </c>
      <c r="G806">
        <v>0</v>
      </c>
      <c r="H806">
        <v>6.9749999999999996</v>
      </c>
      <c r="I806" t="s">
        <v>14</v>
      </c>
      <c r="J806" t="str">
        <f t="shared" si="36"/>
        <v>Adult</v>
      </c>
      <c r="K806" t="str">
        <f t="shared" si="37"/>
        <v>Low</v>
      </c>
      <c r="L806">
        <f t="shared" si="38"/>
        <v>1</v>
      </c>
    </row>
    <row r="807" spans="1:12">
      <c r="A807">
        <v>0</v>
      </c>
      <c r="B807">
        <v>3</v>
      </c>
      <c r="C807" t="s">
        <v>826</v>
      </c>
      <c r="D807" t="s">
        <v>13</v>
      </c>
      <c r="E807">
        <v>31</v>
      </c>
      <c r="F807">
        <v>0</v>
      </c>
      <c r="G807">
        <v>0</v>
      </c>
      <c r="H807">
        <v>7.7750000000000004</v>
      </c>
      <c r="I807" t="s">
        <v>14</v>
      </c>
      <c r="J807" t="str">
        <f t="shared" si="36"/>
        <v>Adult</v>
      </c>
      <c r="K807" t="str">
        <f t="shared" si="37"/>
        <v>Low</v>
      </c>
      <c r="L807">
        <f t="shared" si="38"/>
        <v>1</v>
      </c>
    </row>
    <row r="808" spans="1:12">
      <c r="A808">
        <v>0</v>
      </c>
      <c r="B808">
        <v>1</v>
      </c>
      <c r="C808" t="s">
        <v>827</v>
      </c>
      <c r="D808" t="s">
        <v>13</v>
      </c>
      <c r="E808">
        <v>39</v>
      </c>
      <c r="F808">
        <v>0</v>
      </c>
      <c r="G808">
        <v>0</v>
      </c>
      <c r="H808">
        <v>0</v>
      </c>
      <c r="I808" t="s">
        <v>14</v>
      </c>
      <c r="J808" t="str">
        <f t="shared" si="36"/>
        <v>Adult</v>
      </c>
      <c r="K808" t="str">
        <f t="shared" si="37"/>
        <v>Low</v>
      </c>
      <c r="L808">
        <f t="shared" si="38"/>
        <v>1</v>
      </c>
    </row>
    <row r="809" spans="1:12">
      <c r="A809">
        <v>0</v>
      </c>
      <c r="B809">
        <v>3</v>
      </c>
      <c r="C809" t="s">
        <v>828</v>
      </c>
      <c r="D809" t="s">
        <v>17</v>
      </c>
      <c r="E809">
        <v>18</v>
      </c>
      <c r="F809">
        <v>0</v>
      </c>
      <c r="G809">
        <v>0</v>
      </c>
      <c r="H809">
        <v>7.7750000000000004</v>
      </c>
      <c r="I809" t="s">
        <v>14</v>
      </c>
      <c r="J809" t="str">
        <f t="shared" si="36"/>
        <v>Adult</v>
      </c>
      <c r="K809" t="str">
        <f t="shared" si="37"/>
        <v>Low</v>
      </c>
      <c r="L809">
        <f t="shared" si="38"/>
        <v>1</v>
      </c>
    </row>
    <row r="810" spans="1:12">
      <c r="A810">
        <v>0</v>
      </c>
      <c r="B810">
        <v>2</v>
      </c>
      <c r="C810" t="s">
        <v>829</v>
      </c>
      <c r="D810" t="s">
        <v>13</v>
      </c>
      <c r="E810">
        <v>39</v>
      </c>
      <c r="F810">
        <v>0</v>
      </c>
      <c r="G810">
        <v>0</v>
      </c>
      <c r="H810">
        <v>13</v>
      </c>
      <c r="I810" t="s">
        <v>14</v>
      </c>
      <c r="J810" t="str">
        <f t="shared" si="36"/>
        <v>Adult</v>
      </c>
      <c r="K810" t="str">
        <f t="shared" si="37"/>
        <v>Low</v>
      </c>
      <c r="L810">
        <f t="shared" si="38"/>
        <v>1</v>
      </c>
    </row>
    <row r="811" spans="1:12">
      <c r="A811">
        <v>1</v>
      </c>
      <c r="B811">
        <v>1</v>
      </c>
      <c r="C811" t="s">
        <v>830</v>
      </c>
      <c r="D811" t="s">
        <v>17</v>
      </c>
      <c r="E811">
        <v>33</v>
      </c>
      <c r="F811">
        <v>1</v>
      </c>
      <c r="G811">
        <v>0</v>
      </c>
      <c r="H811">
        <v>53.1</v>
      </c>
      <c r="I811" t="s">
        <v>14</v>
      </c>
      <c r="J811" t="str">
        <f t="shared" si="36"/>
        <v>Adult</v>
      </c>
      <c r="K811" t="str">
        <f t="shared" si="37"/>
        <v>High</v>
      </c>
      <c r="L811">
        <f t="shared" si="38"/>
        <v>2</v>
      </c>
    </row>
    <row r="812" spans="1:12">
      <c r="A812">
        <v>0</v>
      </c>
      <c r="B812">
        <v>3</v>
      </c>
      <c r="C812" t="s">
        <v>831</v>
      </c>
      <c r="D812" t="s">
        <v>13</v>
      </c>
      <c r="E812">
        <v>26</v>
      </c>
      <c r="F812">
        <v>0</v>
      </c>
      <c r="G812">
        <v>0</v>
      </c>
      <c r="H812">
        <v>7.8875000000000002</v>
      </c>
      <c r="I812" t="s">
        <v>14</v>
      </c>
      <c r="J812" t="str">
        <f t="shared" si="36"/>
        <v>Adult</v>
      </c>
      <c r="K812" t="str">
        <f t="shared" si="37"/>
        <v>Low</v>
      </c>
      <c r="L812">
        <f t="shared" si="38"/>
        <v>1</v>
      </c>
    </row>
    <row r="813" spans="1:12">
      <c r="A813">
        <v>0</v>
      </c>
      <c r="B813">
        <v>3</v>
      </c>
      <c r="C813" t="s">
        <v>832</v>
      </c>
      <c r="D813" t="s">
        <v>13</v>
      </c>
      <c r="E813">
        <v>39</v>
      </c>
      <c r="F813">
        <v>0</v>
      </c>
      <c r="G813">
        <v>0</v>
      </c>
      <c r="H813">
        <v>24.15</v>
      </c>
      <c r="I813" t="s">
        <v>14</v>
      </c>
      <c r="J813" t="str">
        <f t="shared" si="36"/>
        <v>Adult</v>
      </c>
      <c r="K813" t="str">
        <f t="shared" si="37"/>
        <v>Low</v>
      </c>
      <c r="L813">
        <f t="shared" si="38"/>
        <v>1</v>
      </c>
    </row>
    <row r="814" spans="1:12">
      <c r="A814">
        <v>0</v>
      </c>
      <c r="B814">
        <v>2</v>
      </c>
      <c r="C814" t="s">
        <v>833</v>
      </c>
      <c r="D814" t="s">
        <v>13</v>
      </c>
      <c r="E814">
        <v>35</v>
      </c>
      <c r="F814">
        <v>0</v>
      </c>
      <c r="G814">
        <v>0</v>
      </c>
      <c r="H814">
        <v>10.5</v>
      </c>
      <c r="I814" t="s">
        <v>14</v>
      </c>
      <c r="J814" t="str">
        <f t="shared" si="36"/>
        <v>Adult</v>
      </c>
      <c r="K814" t="str">
        <f t="shared" si="37"/>
        <v>Low</v>
      </c>
      <c r="L814">
        <f t="shared" si="38"/>
        <v>1</v>
      </c>
    </row>
    <row r="815" spans="1:12">
      <c r="A815">
        <v>0</v>
      </c>
      <c r="B815">
        <v>3</v>
      </c>
      <c r="C815" t="s">
        <v>834</v>
      </c>
      <c r="D815" t="s">
        <v>17</v>
      </c>
      <c r="E815">
        <v>6</v>
      </c>
      <c r="F815">
        <v>4</v>
      </c>
      <c r="G815">
        <v>2</v>
      </c>
      <c r="H815">
        <v>31.274999999999999</v>
      </c>
      <c r="I815" t="s">
        <v>14</v>
      </c>
      <c r="J815" t="str">
        <f t="shared" si="36"/>
        <v>Child</v>
      </c>
      <c r="K815" t="str">
        <f t="shared" si="37"/>
        <v>Low</v>
      </c>
      <c r="L815">
        <f t="shared" si="38"/>
        <v>7</v>
      </c>
    </row>
    <row r="816" spans="1:12">
      <c r="A816">
        <v>0</v>
      </c>
      <c r="B816">
        <v>3</v>
      </c>
      <c r="C816" t="s">
        <v>835</v>
      </c>
      <c r="D816" t="s">
        <v>13</v>
      </c>
      <c r="E816">
        <v>30.5</v>
      </c>
      <c r="F816">
        <v>0</v>
      </c>
      <c r="G816">
        <v>0</v>
      </c>
      <c r="H816">
        <v>8.0500000000000007</v>
      </c>
      <c r="I816" t="s">
        <v>14</v>
      </c>
      <c r="J816" t="str">
        <f t="shared" si="36"/>
        <v>Adult</v>
      </c>
      <c r="K816" t="str">
        <f t="shared" si="37"/>
        <v>Low</v>
      </c>
      <c r="L816">
        <f t="shared" si="38"/>
        <v>1</v>
      </c>
    </row>
    <row r="817" spans="1:12">
      <c r="A817">
        <v>0</v>
      </c>
      <c r="B817">
        <v>1</v>
      </c>
      <c r="C817" t="s">
        <v>836</v>
      </c>
      <c r="D817" t="s">
        <v>13</v>
      </c>
      <c r="F817">
        <v>0</v>
      </c>
      <c r="G817">
        <v>0</v>
      </c>
      <c r="H817">
        <v>0</v>
      </c>
      <c r="I817" t="s">
        <v>14</v>
      </c>
      <c r="J817" t="str">
        <f t="shared" si="36"/>
        <v>Child</v>
      </c>
      <c r="K817" t="str">
        <f t="shared" si="37"/>
        <v>Low</v>
      </c>
      <c r="L817">
        <f t="shared" si="38"/>
        <v>1</v>
      </c>
    </row>
    <row r="818" spans="1:12">
      <c r="A818">
        <v>0</v>
      </c>
      <c r="B818">
        <v>3</v>
      </c>
      <c r="C818" t="s">
        <v>837</v>
      </c>
      <c r="D818" t="s">
        <v>17</v>
      </c>
      <c r="E818">
        <v>23</v>
      </c>
      <c r="F818">
        <v>0</v>
      </c>
      <c r="G818">
        <v>0</v>
      </c>
      <c r="H818">
        <v>7.9249999999999998</v>
      </c>
      <c r="I818" t="s">
        <v>14</v>
      </c>
      <c r="J818" t="str">
        <f t="shared" si="36"/>
        <v>Adult</v>
      </c>
      <c r="K818" t="str">
        <f t="shared" si="37"/>
        <v>Low</v>
      </c>
      <c r="L818">
        <f t="shared" si="38"/>
        <v>1</v>
      </c>
    </row>
    <row r="819" spans="1:12">
      <c r="A819">
        <v>0</v>
      </c>
      <c r="B819">
        <v>2</v>
      </c>
      <c r="C819" t="s">
        <v>838</v>
      </c>
      <c r="D819" t="s">
        <v>13</v>
      </c>
      <c r="E819">
        <v>31</v>
      </c>
      <c r="F819">
        <v>1</v>
      </c>
      <c r="G819">
        <v>1</v>
      </c>
      <c r="H819">
        <v>37.004199999999997</v>
      </c>
      <c r="I819" t="s">
        <v>18</v>
      </c>
      <c r="J819" t="str">
        <f t="shared" si="36"/>
        <v>Adult</v>
      </c>
      <c r="K819" t="str">
        <f t="shared" si="37"/>
        <v>Low</v>
      </c>
      <c r="L819">
        <f t="shared" si="38"/>
        <v>3</v>
      </c>
    </row>
    <row r="820" spans="1:12">
      <c r="A820">
        <v>0</v>
      </c>
      <c r="B820">
        <v>3</v>
      </c>
      <c r="C820" t="s">
        <v>839</v>
      </c>
      <c r="D820" t="s">
        <v>13</v>
      </c>
      <c r="E820">
        <v>43</v>
      </c>
      <c r="F820">
        <v>0</v>
      </c>
      <c r="G820">
        <v>0</v>
      </c>
      <c r="H820">
        <v>6.45</v>
      </c>
      <c r="I820" t="s">
        <v>14</v>
      </c>
      <c r="J820" t="str">
        <f t="shared" si="36"/>
        <v>Adult</v>
      </c>
      <c r="K820" t="str">
        <f t="shared" si="37"/>
        <v>Low</v>
      </c>
      <c r="L820">
        <f t="shared" si="38"/>
        <v>1</v>
      </c>
    </row>
    <row r="821" spans="1:12">
      <c r="A821">
        <v>0</v>
      </c>
      <c r="B821">
        <v>3</v>
      </c>
      <c r="C821" t="s">
        <v>840</v>
      </c>
      <c r="D821" t="s">
        <v>13</v>
      </c>
      <c r="E821">
        <v>10</v>
      </c>
      <c r="F821">
        <v>3</v>
      </c>
      <c r="G821">
        <v>2</v>
      </c>
      <c r="H821">
        <v>27.9</v>
      </c>
      <c r="I821" t="s">
        <v>14</v>
      </c>
      <c r="J821" t="str">
        <f t="shared" si="36"/>
        <v>Child</v>
      </c>
      <c r="K821" t="str">
        <f t="shared" si="37"/>
        <v>Low</v>
      </c>
      <c r="L821">
        <f t="shared" si="38"/>
        <v>6</v>
      </c>
    </row>
    <row r="822" spans="1:12">
      <c r="A822">
        <v>1</v>
      </c>
      <c r="B822">
        <v>1</v>
      </c>
      <c r="C822" t="s">
        <v>841</v>
      </c>
      <c r="D822" t="s">
        <v>17</v>
      </c>
      <c r="E822">
        <v>52</v>
      </c>
      <c r="F822">
        <v>1</v>
      </c>
      <c r="G822">
        <v>1</v>
      </c>
      <c r="H822">
        <v>93.5</v>
      </c>
      <c r="I822" t="s">
        <v>14</v>
      </c>
      <c r="J822" t="str">
        <f t="shared" si="36"/>
        <v>Adult</v>
      </c>
      <c r="K822" t="str">
        <f t="shared" si="37"/>
        <v>High</v>
      </c>
      <c r="L822">
        <f t="shared" si="38"/>
        <v>3</v>
      </c>
    </row>
    <row r="823" spans="1:12">
      <c r="A823">
        <v>1</v>
      </c>
      <c r="B823">
        <v>3</v>
      </c>
      <c r="C823" t="s">
        <v>842</v>
      </c>
      <c r="D823" t="s">
        <v>13</v>
      </c>
      <c r="E823">
        <v>27</v>
      </c>
      <c r="F823">
        <v>0</v>
      </c>
      <c r="G823">
        <v>0</v>
      </c>
      <c r="H823">
        <v>8.6624999999999996</v>
      </c>
      <c r="I823" t="s">
        <v>14</v>
      </c>
      <c r="J823" t="str">
        <f t="shared" si="36"/>
        <v>Adult</v>
      </c>
      <c r="K823" t="str">
        <f t="shared" si="37"/>
        <v>Low</v>
      </c>
      <c r="L823">
        <f t="shared" si="38"/>
        <v>1</v>
      </c>
    </row>
    <row r="824" spans="1:12">
      <c r="A824">
        <v>0</v>
      </c>
      <c r="B824">
        <v>1</v>
      </c>
      <c r="C824" t="s">
        <v>843</v>
      </c>
      <c r="D824" t="s">
        <v>13</v>
      </c>
      <c r="E824">
        <v>38</v>
      </c>
      <c r="F824">
        <v>0</v>
      </c>
      <c r="G824">
        <v>0</v>
      </c>
      <c r="H824">
        <v>0</v>
      </c>
      <c r="I824" t="s">
        <v>14</v>
      </c>
      <c r="J824" t="str">
        <f t="shared" si="36"/>
        <v>Adult</v>
      </c>
      <c r="K824" t="str">
        <f t="shared" si="37"/>
        <v>Low</v>
      </c>
      <c r="L824">
        <f t="shared" si="38"/>
        <v>1</v>
      </c>
    </row>
    <row r="825" spans="1:12">
      <c r="A825">
        <v>1</v>
      </c>
      <c r="B825">
        <v>3</v>
      </c>
      <c r="C825" t="s">
        <v>844</v>
      </c>
      <c r="D825" t="s">
        <v>17</v>
      </c>
      <c r="E825">
        <v>27</v>
      </c>
      <c r="F825">
        <v>0</v>
      </c>
      <c r="G825">
        <v>1</v>
      </c>
      <c r="H825">
        <v>12.475</v>
      </c>
      <c r="I825" t="s">
        <v>14</v>
      </c>
      <c r="J825" t="str">
        <f t="shared" si="36"/>
        <v>Adult</v>
      </c>
      <c r="K825" t="str">
        <f t="shared" si="37"/>
        <v>Low</v>
      </c>
      <c r="L825">
        <f t="shared" si="38"/>
        <v>2</v>
      </c>
    </row>
    <row r="826" spans="1:12">
      <c r="A826">
        <v>0</v>
      </c>
      <c r="B826">
        <v>3</v>
      </c>
      <c r="C826" t="s">
        <v>845</v>
      </c>
      <c r="D826" t="s">
        <v>13</v>
      </c>
      <c r="E826">
        <v>2</v>
      </c>
      <c r="F826">
        <v>4</v>
      </c>
      <c r="G826">
        <v>1</v>
      </c>
      <c r="H826">
        <v>39.6875</v>
      </c>
      <c r="I826" t="s">
        <v>14</v>
      </c>
      <c r="J826" t="str">
        <f t="shared" si="36"/>
        <v>Child</v>
      </c>
      <c r="K826" t="str">
        <f t="shared" si="37"/>
        <v>Low</v>
      </c>
      <c r="L826">
        <f t="shared" si="38"/>
        <v>6</v>
      </c>
    </row>
    <row r="827" spans="1:12">
      <c r="A827">
        <v>0</v>
      </c>
      <c r="B827">
        <v>3</v>
      </c>
      <c r="C827" t="s">
        <v>846</v>
      </c>
      <c r="D827" t="s">
        <v>13</v>
      </c>
      <c r="F827">
        <v>0</v>
      </c>
      <c r="G827">
        <v>0</v>
      </c>
      <c r="H827">
        <v>6.95</v>
      </c>
      <c r="I827" t="s">
        <v>26</v>
      </c>
      <c r="J827" t="str">
        <f t="shared" si="36"/>
        <v>Child</v>
      </c>
      <c r="K827" t="str">
        <f t="shared" si="37"/>
        <v>Low</v>
      </c>
      <c r="L827">
        <f t="shared" si="38"/>
        <v>1</v>
      </c>
    </row>
    <row r="828" spans="1:12">
      <c r="A828">
        <v>0</v>
      </c>
      <c r="B828">
        <v>3</v>
      </c>
      <c r="C828" t="s">
        <v>847</v>
      </c>
      <c r="D828" t="s">
        <v>13</v>
      </c>
      <c r="F828">
        <v>0</v>
      </c>
      <c r="G828">
        <v>0</v>
      </c>
      <c r="H828">
        <v>56.495800000000003</v>
      </c>
      <c r="I828" t="s">
        <v>14</v>
      </c>
      <c r="J828" t="str">
        <f t="shared" si="36"/>
        <v>Child</v>
      </c>
      <c r="K828" t="str">
        <f t="shared" si="37"/>
        <v>High</v>
      </c>
      <c r="L828">
        <f t="shared" si="38"/>
        <v>1</v>
      </c>
    </row>
    <row r="829" spans="1:12">
      <c r="A829">
        <v>1</v>
      </c>
      <c r="B829">
        <v>2</v>
      </c>
      <c r="C829" t="s">
        <v>848</v>
      </c>
      <c r="D829" t="s">
        <v>13</v>
      </c>
      <c r="E829">
        <v>1</v>
      </c>
      <c r="F829">
        <v>0</v>
      </c>
      <c r="G829">
        <v>2</v>
      </c>
      <c r="H829">
        <v>37.004199999999997</v>
      </c>
      <c r="I829" t="s">
        <v>18</v>
      </c>
      <c r="J829" t="str">
        <f t="shared" si="36"/>
        <v>Child</v>
      </c>
      <c r="K829" t="str">
        <f t="shared" si="37"/>
        <v>Low</v>
      </c>
      <c r="L829">
        <f t="shared" si="38"/>
        <v>3</v>
      </c>
    </row>
    <row r="830" spans="1:12">
      <c r="A830">
        <v>1</v>
      </c>
      <c r="B830">
        <v>3</v>
      </c>
      <c r="C830" t="s">
        <v>849</v>
      </c>
      <c r="D830" t="s">
        <v>13</v>
      </c>
      <c r="F830">
        <v>0</v>
      </c>
      <c r="G830">
        <v>0</v>
      </c>
      <c r="H830">
        <v>7.75</v>
      </c>
      <c r="I830" t="s">
        <v>26</v>
      </c>
      <c r="J830" t="str">
        <f t="shared" si="36"/>
        <v>Child</v>
      </c>
      <c r="K830" t="str">
        <f t="shared" si="37"/>
        <v>Low</v>
      </c>
      <c r="L830">
        <f t="shared" si="38"/>
        <v>1</v>
      </c>
    </row>
    <row r="831" spans="1:12">
      <c r="A831">
        <v>1</v>
      </c>
      <c r="B831">
        <v>1</v>
      </c>
      <c r="C831" t="s">
        <v>850</v>
      </c>
      <c r="D831" t="s">
        <v>17</v>
      </c>
      <c r="E831">
        <v>62</v>
      </c>
      <c r="F831">
        <v>0</v>
      </c>
      <c r="G831">
        <v>0</v>
      </c>
      <c r="H831">
        <v>80</v>
      </c>
      <c r="J831" t="str">
        <f t="shared" si="36"/>
        <v>Adult</v>
      </c>
      <c r="K831" t="str">
        <f t="shared" si="37"/>
        <v>High</v>
      </c>
      <c r="L831">
        <f t="shared" si="38"/>
        <v>1</v>
      </c>
    </row>
    <row r="832" spans="1:12">
      <c r="A832">
        <v>1</v>
      </c>
      <c r="B832">
        <v>3</v>
      </c>
      <c r="C832" t="s">
        <v>851</v>
      </c>
      <c r="D832" t="s">
        <v>17</v>
      </c>
      <c r="E832">
        <v>15</v>
      </c>
      <c r="F832">
        <v>1</v>
      </c>
      <c r="G832">
        <v>0</v>
      </c>
      <c r="H832">
        <v>14.4542</v>
      </c>
      <c r="I832" t="s">
        <v>18</v>
      </c>
      <c r="J832" t="str">
        <f t="shared" si="36"/>
        <v>Child</v>
      </c>
      <c r="K832" t="str">
        <f t="shared" si="37"/>
        <v>Low</v>
      </c>
      <c r="L832">
        <f t="shared" si="38"/>
        <v>2</v>
      </c>
    </row>
    <row r="833" spans="1:12">
      <c r="A833">
        <v>1</v>
      </c>
      <c r="B833">
        <v>2</v>
      </c>
      <c r="C833" t="s">
        <v>852</v>
      </c>
      <c r="D833" t="s">
        <v>13</v>
      </c>
      <c r="E833">
        <v>0.83</v>
      </c>
      <c r="F833">
        <v>1</v>
      </c>
      <c r="G833">
        <v>1</v>
      </c>
      <c r="H833">
        <v>18.75</v>
      </c>
      <c r="I833" t="s">
        <v>14</v>
      </c>
      <c r="J833" t="str">
        <f t="shared" si="36"/>
        <v>Child</v>
      </c>
      <c r="K833" t="str">
        <f t="shared" si="37"/>
        <v>Low</v>
      </c>
      <c r="L833">
        <f t="shared" si="38"/>
        <v>3</v>
      </c>
    </row>
    <row r="834" spans="1:12">
      <c r="A834">
        <v>0</v>
      </c>
      <c r="B834">
        <v>3</v>
      </c>
      <c r="C834" t="s">
        <v>853</v>
      </c>
      <c r="D834" t="s">
        <v>13</v>
      </c>
      <c r="F834">
        <v>0</v>
      </c>
      <c r="G834">
        <v>0</v>
      </c>
      <c r="H834">
        <v>7.2291999999999996</v>
      </c>
      <c r="I834" t="s">
        <v>18</v>
      </c>
      <c r="J834" t="str">
        <f t="shared" si="36"/>
        <v>Child</v>
      </c>
      <c r="K834" t="str">
        <f t="shared" si="37"/>
        <v>Low</v>
      </c>
      <c r="L834">
        <f t="shared" si="38"/>
        <v>1</v>
      </c>
    </row>
    <row r="835" spans="1:12">
      <c r="A835">
        <v>0</v>
      </c>
      <c r="B835">
        <v>3</v>
      </c>
      <c r="C835" t="s">
        <v>854</v>
      </c>
      <c r="D835" t="s">
        <v>13</v>
      </c>
      <c r="E835">
        <v>23</v>
      </c>
      <c r="F835">
        <v>0</v>
      </c>
      <c r="G835">
        <v>0</v>
      </c>
      <c r="H835">
        <v>7.8541999999999996</v>
      </c>
      <c r="I835" t="s">
        <v>14</v>
      </c>
      <c r="J835" t="str">
        <f t="shared" ref="J835:J898" si="39">IF(E835&lt;18,"Child","Adult")</f>
        <v>Adult</v>
      </c>
      <c r="K835" t="str">
        <f t="shared" ref="K835:K892" si="40">IF(H835&gt;50,"High","Low")</f>
        <v>Low</v>
      </c>
      <c r="L835">
        <f t="shared" ref="L835:L892" si="41">F835+G835+1</f>
        <v>1</v>
      </c>
    </row>
    <row r="836" spans="1:12">
      <c r="A836">
        <v>0</v>
      </c>
      <c r="B836">
        <v>3</v>
      </c>
      <c r="C836" t="s">
        <v>855</v>
      </c>
      <c r="D836" t="s">
        <v>13</v>
      </c>
      <c r="E836">
        <v>18</v>
      </c>
      <c r="F836">
        <v>0</v>
      </c>
      <c r="G836">
        <v>0</v>
      </c>
      <c r="H836">
        <v>8.3000000000000007</v>
      </c>
      <c r="I836" t="s">
        <v>14</v>
      </c>
      <c r="J836" t="str">
        <f t="shared" si="39"/>
        <v>Adult</v>
      </c>
      <c r="K836" t="str">
        <f t="shared" si="40"/>
        <v>Low</v>
      </c>
      <c r="L836">
        <f t="shared" si="41"/>
        <v>1</v>
      </c>
    </row>
    <row r="837" spans="1:12">
      <c r="A837">
        <v>1</v>
      </c>
      <c r="B837">
        <v>1</v>
      </c>
      <c r="C837" t="s">
        <v>856</v>
      </c>
      <c r="D837" t="s">
        <v>17</v>
      </c>
      <c r="E837">
        <v>39</v>
      </c>
      <c r="F837">
        <v>1</v>
      </c>
      <c r="G837">
        <v>1</v>
      </c>
      <c r="H837">
        <v>83.158299999999997</v>
      </c>
      <c r="I837" t="s">
        <v>18</v>
      </c>
      <c r="J837" t="str">
        <f t="shared" si="39"/>
        <v>Adult</v>
      </c>
      <c r="K837" t="str">
        <f t="shared" si="40"/>
        <v>High</v>
      </c>
      <c r="L837">
        <f t="shared" si="41"/>
        <v>3</v>
      </c>
    </row>
    <row r="838" spans="1:12">
      <c r="A838">
        <v>0</v>
      </c>
      <c r="B838">
        <v>3</v>
      </c>
      <c r="C838" t="s">
        <v>857</v>
      </c>
      <c r="D838" t="s">
        <v>13</v>
      </c>
      <c r="E838">
        <v>21</v>
      </c>
      <c r="F838">
        <v>0</v>
      </c>
      <c r="G838">
        <v>0</v>
      </c>
      <c r="H838">
        <v>8.6624999999999996</v>
      </c>
      <c r="I838" t="s">
        <v>14</v>
      </c>
      <c r="J838" t="str">
        <f t="shared" si="39"/>
        <v>Adult</v>
      </c>
      <c r="K838" t="str">
        <f t="shared" si="40"/>
        <v>Low</v>
      </c>
      <c r="L838">
        <f t="shared" si="41"/>
        <v>1</v>
      </c>
    </row>
    <row r="839" spans="1:12">
      <c r="A839">
        <v>0</v>
      </c>
      <c r="B839">
        <v>3</v>
      </c>
      <c r="C839" t="s">
        <v>858</v>
      </c>
      <c r="D839" t="s">
        <v>13</v>
      </c>
      <c r="F839">
        <v>0</v>
      </c>
      <c r="G839">
        <v>0</v>
      </c>
      <c r="H839">
        <v>8.0500000000000007</v>
      </c>
      <c r="I839" t="s">
        <v>14</v>
      </c>
      <c r="J839" t="str">
        <f t="shared" si="39"/>
        <v>Child</v>
      </c>
      <c r="K839" t="str">
        <f t="shared" si="40"/>
        <v>Low</v>
      </c>
      <c r="L839">
        <f t="shared" si="41"/>
        <v>1</v>
      </c>
    </row>
    <row r="840" spans="1:12">
      <c r="A840">
        <v>1</v>
      </c>
      <c r="B840">
        <v>3</v>
      </c>
      <c r="C840" t="s">
        <v>859</v>
      </c>
      <c r="D840" t="s">
        <v>13</v>
      </c>
      <c r="E840">
        <v>32</v>
      </c>
      <c r="F840">
        <v>0</v>
      </c>
      <c r="G840">
        <v>0</v>
      </c>
      <c r="H840">
        <v>56.495800000000003</v>
      </c>
      <c r="I840" t="s">
        <v>14</v>
      </c>
      <c r="J840" t="str">
        <f t="shared" si="39"/>
        <v>Adult</v>
      </c>
      <c r="K840" t="str">
        <f t="shared" si="40"/>
        <v>High</v>
      </c>
      <c r="L840">
        <f t="shared" si="41"/>
        <v>1</v>
      </c>
    </row>
    <row r="841" spans="1:12">
      <c r="A841">
        <v>1</v>
      </c>
      <c r="B841">
        <v>1</v>
      </c>
      <c r="C841" t="s">
        <v>860</v>
      </c>
      <c r="D841" t="s">
        <v>13</v>
      </c>
      <c r="F841">
        <v>0</v>
      </c>
      <c r="G841">
        <v>0</v>
      </c>
      <c r="H841">
        <v>29.7</v>
      </c>
      <c r="I841" t="s">
        <v>18</v>
      </c>
      <c r="J841" t="str">
        <f t="shared" si="39"/>
        <v>Child</v>
      </c>
      <c r="K841" t="str">
        <f t="shared" si="40"/>
        <v>Low</v>
      </c>
      <c r="L841">
        <f t="shared" si="41"/>
        <v>1</v>
      </c>
    </row>
    <row r="842" spans="1:12">
      <c r="A842">
        <v>0</v>
      </c>
      <c r="B842">
        <v>3</v>
      </c>
      <c r="C842" t="s">
        <v>861</v>
      </c>
      <c r="D842" t="s">
        <v>13</v>
      </c>
      <c r="E842">
        <v>20</v>
      </c>
      <c r="F842">
        <v>0</v>
      </c>
      <c r="G842">
        <v>0</v>
      </c>
      <c r="H842">
        <v>7.9249999999999998</v>
      </c>
      <c r="I842" t="s">
        <v>14</v>
      </c>
      <c r="J842" t="str">
        <f t="shared" si="39"/>
        <v>Adult</v>
      </c>
      <c r="K842" t="str">
        <f t="shared" si="40"/>
        <v>Low</v>
      </c>
      <c r="L842">
        <f t="shared" si="41"/>
        <v>1</v>
      </c>
    </row>
    <row r="843" spans="1:12">
      <c r="A843">
        <v>0</v>
      </c>
      <c r="B843">
        <v>2</v>
      </c>
      <c r="C843" t="s">
        <v>862</v>
      </c>
      <c r="D843" t="s">
        <v>13</v>
      </c>
      <c r="E843">
        <v>16</v>
      </c>
      <c r="F843">
        <v>0</v>
      </c>
      <c r="G843">
        <v>0</v>
      </c>
      <c r="H843">
        <v>10.5</v>
      </c>
      <c r="I843" t="s">
        <v>14</v>
      </c>
      <c r="J843" t="str">
        <f t="shared" si="39"/>
        <v>Child</v>
      </c>
      <c r="K843" t="str">
        <f t="shared" si="40"/>
        <v>Low</v>
      </c>
      <c r="L843">
        <f t="shared" si="41"/>
        <v>1</v>
      </c>
    </row>
    <row r="844" spans="1:12">
      <c r="A844">
        <v>1</v>
      </c>
      <c r="B844">
        <v>1</v>
      </c>
      <c r="C844" t="s">
        <v>863</v>
      </c>
      <c r="D844" t="s">
        <v>17</v>
      </c>
      <c r="E844">
        <v>30</v>
      </c>
      <c r="F844">
        <v>0</v>
      </c>
      <c r="G844">
        <v>0</v>
      </c>
      <c r="H844">
        <v>31</v>
      </c>
      <c r="I844" t="s">
        <v>18</v>
      </c>
      <c r="J844" t="str">
        <f t="shared" si="39"/>
        <v>Adult</v>
      </c>
      <c r="K844" t="str">
        <f t="shared" si="40"/>
        <v>Low</v>
      </c>
      <c r="L844">
        <f t="shared" si="41"/>
        <v>1</v>
      </c>
    </row>
    <row r="845" spans="1:12">
      <c r="A845">
        <v>0</v>
      </c>
      <c r="B845">
        <v>3</v>
      </c>
      <c r="C845" t="s">
        <v>864</v>
      </c>
      <c r="D845" t="s">
        <v>13</v>
      </c>
      <c r="E845">
        <v>34.5</v>
      </c>
      <c r="F845">
        <v>0</v>
      </c>
      <c r="G845">
        <v>0</v>
      </c>
      <c r="H845">
        <v>6.4375</v>
      </c>
      <c r="I845" t="s">
        <v>18</v>
      </c>
      <c r="J845" t="str">
        <f t="shared" si="39"/>
        <v>Adult</v>
      </c>
      <c r="K845" t="str">
        <f t="shared" si="40"/>
        <v>Low</v>
      </c>
      <c r="L845">
        <f t="shared" si="41"/>
        <v>1</v>
      </c>
    </row>
    <row r="846" spans="1:12">
      <c r="A846">
        <v>0</v>
      </c>
      <c r="B846">
        <v>3</v>
      </c>
      <c r="C846" t="s">
        <v>865</v>
      </c>
      <c r="D846" t="s">
        <v>13</v>
      </c>
      <c r="E846">
        <v>17</v>
      </c>
      <c r="F846">
        <v>0</v>
      </c>
      <c r="G846">
        <v>0</v>
      </c>
      <c r="H846">
        <v>8.6624999999999996</v>
      </c>
      <c r="I846" t="s">
        <v>14</v>
      </c>
      <c r="J846" t="str">
        <f t="shared" si="39"/>
        <v>Child</v>
      </c>
      <c r="K846" t="str">
        <f t="shared" si="40"/>
        <v>Low</v>
      </c>
      <c r="L846">
        <f t="shared" si="41"/>
        <v>1</v>
      </c>
    </row>
    <row r="847" spans="1:12">
      <c r="A847">
        <v>0</v>
      </c>
      <c r="B847">
        <v>3</v>
      </c>
      <c r="C847" t="s">
        <v>866</v>
      </c>
      <c r="D847" t="s">
        <v>13</v>
      </c>
      <c r="E847">
        <v>42</v>
      </c>
      <c r="F847">
        <v>0</v>
      </c>
      <c r="G847">
        <v>0</v>
      </c>
      <c r="H847">
        <v>7.55</v>
      </c>
      <c r="I847" t="s">
        <v>14</v>
      </c>
      <c r="J847" t="str">
        <f t="shared" si="39"/>
        <v>Adult</v>
      </c>
      <c r="K847" t="str">
        <f t="shared" si="40"/>
        <v>Low</v>
      </c>
      <c r="L847">
        <f t="shared" si="41"/>
        <v>1</v>
      </c>
    </row>
    <row r="848" spans="1:12">
      <c r="A848">
        <v>0</v>
      </c>
      <c r="B848">
        <v>3</v>
      </c>
      <c r="C848" t="s">
        <v>867</v>
      </c>
      <c r="D848" t="s">
        <v>13</v>
      </c>
      <c r="F848">
        <v>8</v>
      </c>
      <c r="G848">
        <v>2</v>
      </c>
      <c r="H848">
        <v>69.55</v>
      </c>
      <c r="I848" t="s">
        <v>14</v>
      </c>
      <c r="J848" t="str">
        <f t="shared" si="39"/>
        <v>Child</v>
      </c>
      <c r="K848" t="str">
        <f t="shared" si="40"/>
        <v>High</v>
      </c>
      <c r="L848">
        <f t="shared" si="41"/>
        <v>11</v>
      </c>
    </row>
    <row r="849" spans="1:12">
      <c r="A849">
        <v>0</v>
      </c>
      <c r="B849">
        <v>3</v>
      </c>
      <c r="C849" t="s">
        <v>868</v>
      </c>
      <c r="D849" t="s">
        <v>13</v>
      </c>
      <c r="E849">
        <v>35</v>
      </c>
      <c r="F849">
        <v>0</v>
      </c>
      <c r="G849">
        <v>0</v>
      </c>
      <c r="H849">
        <v>7.8958000000000004</v>
      </c>
      <c r="I849" t="s">
        <v>18</v>
      </c>
      <c r="J849" t="str">
        <f t="shared" si="39"/>
        <v>Adult</v>
      </c>
      <c r="K849" t="str">
        <f t="shared" si="40"/>
        <v>Low</v>
      </c>
      <c r="L849">
        <f t="shared" si="41"/>
        <v>1</v>
      </c>
    </row>
    <row r="850" spans="1:12">
      <c r="A850">
        <v>0</v>
      </c>
      <c r="B850">
        <v>2</v>
      </c>
      <c r="C850" t="s">
        <v>869</v>
      </c>
      <c r="D850" t="s">
        <v>13</v>
      </c>
      <c r="E850">
        <v>28</v>
      </c>
      <c r="F850">
        <v>0</v>
      </c>
      <c r="G850">
        <v>1</v>
      </c>
      <c r="H850">
        <v>33</v>
      </c>
      <c r="I850" t="s">
        <v>14</v>
      </c>
      <c r="J850" t="str">
        <f t="shared" si="39"/>
        <v>Adult</v>
      </c>
      <c r="K850" t="str">
        <f t="shared" si="40"/>
        <v>Low</v>
      </c>
      <c r="L850">
        <f t="shared" si="41"/>
        <v>2</v>
      </c>
    </row>
    <row r="851" spans="1:12">
      <c r="A851">
        <v>1</v>
      </c>
      <c r="B851">
        <v>1</v>
      </c>
      <c r="C851" t="s">
        <v>870</v>
      </c>
      <c r="D851" t="s">
        <v>17</v>
      </c>
      <c r="F851">
        <v>1</v>
      </c>
      <c r="G851">
        <v>0</v>
      </c>
      <c r="H851">
        <v>89.104200000000006</v>
      </c>
      <c r="I851" t="s">
        <v>18</v>
      </c>
      <c r="J851" t="str">
        <f t="shared" si="39"/>
        <v>Child</v>
      </c>
      <c r="K851" t="str">
        <f t="shared" si="40"/>
        <v>High</v>
      </c>
      <c r="L851">
        <f t="shared" si="41"/>
        <v>2</v>
      </c>
    </row>
    <row r="852" spans="1:12">
      <c r="A852">
        <v>0</v>
      </c>
      <c r="B852">
        <v>3</v>
      </c>
      <c r="C852" t="s">
        <v>871</v>
      </c>
      <c r="D852" t="s">
        <v>13</v>
      </c>
      <c r="E852">
        <v>4</v>
      </c>
      <c r="F852">
        <v>4</v>
      </c>
      <c r="G852">
        <v>2</v>
      </c>
      <c r="H852">
        <v>31.274999999999999</v>
      </c>
      <c r="I852" t="s">
        <v>14</v>
      </c>
      <c r="J852" t="str">
        <f t="shared" si="39"/>
        <v>Child</v>
      </c>
      <c r="K852" t="str">
        <f t="shared" si="40"/>
        <v>Low</v>
      </c>
      <c r="L852">
        <f t="shared" si="41"/>
        <v>7</v>
      </c>
    </row>
    <row r="853" spans="1:12">
      <c r="A853">
        <v>0</v>
      </c>
      <c r="B853">
        <v>3</v>
      </c>
      <c r="C853" t="s">
        <v>872</v>
      </c>
      <c r="D853" t="s">
        <v>13</v>
      </c>
      <c r="E853">
        <v>74</v>
      </c>
      <c r="F853">
        <v>0</v>
      </c>
      <c r="G853">
        <v>0</v>
      </c>
      <c r="H853">
        <v>7.7750000000000004</v>
      </c>
      <c r="I853" t="s">
        <v>14</v>
      </c>
      <c r="J853" t="str">
        <f t="shared" si="39"/>
        <v>Adult</v>
      </c>
      <c r="K853" t="str">
        <f t="shared" si="40"/>
        <v>Low</v>
      </c>
      <c r="L853">
        <f t="shared" si="41"/>
        <v>1</v>
      </c>
    </row>
    <row r="854" spans="1:12">
      <c r="A854">
        <v>0</v>
      </c>
      <c r="B854">
        <v>3</v>
      </c>
      <c r="C854" t="s">
        <v>873</v>
      </c>
      <c r="D854" t="s">
        <v>17</v>
      </c>
      <c r="E854">
        <v>9</v>
      </c>
      <c r="F854">
        <v>1</v>
      </c>
      <c r="G854">
        <v>1</v>
      </c>
      <c r="H854">
        <v>15.245799999999999</v>
      </c>
      <c r="I854" t="s">
        <v>18</v>
      </c>
      <c r="J854" t="str">
        <f t="shared" si="39"/>
        <v>Child</v>
      </c>
      <c r="K854" t="str">
        <f t="shared" si="40"/>
        <v>Low</v>
      </c>
      <c r="L854">
        <f t="shared" si="41"/>
        <v>3</v>
      </c>
    </row>
    <row r="855" spans="1:12">
      <c r="A855">
        <v>1</v>
      </c>
      <c r="B855">
        <v>1</v>
      </c>
      <c r="C855" t="s">
        <v>874</v>
      </c>
      <c r="D855" t="s">
        <v>17</v>
      </c>
      <c r="E855">
        <v>16</v>
      </c>
      <c r="F855">
        <v>0</v>
      </c>
      <c r="G855">
        <v>1</v>
      </c>
      <c r="H855">
        <v>39.4</v>
      </c>
      <c r="I855" t="s">
        <v>14</v>
      </c>
      <c r="J855" t="str">
        <f t="shared" si="39"/>
        <v>Child</v>
      </c>
      <c r="K855" t="str">
        <f t="shared" si="40"/>
        <v>Low</v>
      </c>
      <c r="L855">
        <f t="shared" si="41"/>
        <v>2</v>
      </c>
    </row>
    <row r="856" spans="1:12">
      <c r="A856">
        <v>0</v>
      </c>
      <c r="B856">
        <v>2</v>
      </c>
      <c r="C856" t="s">
        <v>875</v>
      </c>
      <c r="D856" t="s">
        <v>17</v>
      </c>
      <c r="E856">
        <v>44</v>
      </c>
      <c r="F856">
        <v>1</v>
      </c>
      <c r="G856">
        <v>0</v>
      </c>
      <c r="H856">
        <v>26</v>
      </c>
      <c r="I856" t="s">
        <v>14</v>
      </c>
      <c r="J856" t="str">
        <f t="shared" si="39"/>
        <v>Adult</v>
      </c>
      <c r="K856" t="str">
        <f t="shared" si="40"/>
        <v>Low</v>
      </c>
      <c r="L856">
        <f t="shared" si="41"/>
        <v>2</v>
      </c>
    </row>
    <row r="857" spans="1:12">
      <c r="A857">
        <v>1</v>
      </c>
      <c r="B857">
        <v>3</v>
      </c>
      <c r="C857" t="s">
        <v>876</v>
      </c>
      <c r="D857" t="s">
        <v>17</v>
      </c>
      <c r="E857">
        <v>18</v>
      </c>
      <c r="F857">
        <v>0</v>
      </c>
      <c r="G857">
        <v>1</v>
      </c>
      <c r="H857">
        <v>9.35</v>
      </c>
      <c r="I857" t="s">
        <v>14</v>
      </c>
      <c r="J857" t="str">
        <f t="shared" si="39"/>
        <v>Adult</v>
      </c>
      <c r="K857" t="str">
        <f t="shared" si="40"/>
        <v>Low</v>
      </c>
      <c r="L857">
        <f t="shared" si="41"/>
        <v>2</v>
      </c>
    </row>
    <row r="858" spans="1:12">
      <c r="A858">
        <v>1</v>
      </c>
      <c r="B858">
        <v>1</v>
      </c>
      <c r="C858" t="s">
        <v>877</v>
      </c>
      <c r="D858" t="s">
        <v>17</v>
      </c>
      <c r="E858">
        <v>45</v>
      </c>
      <c r="F858">
        <v>1</v>
      </c>
      <c r="G858">
        <v>1</v>
      </c>
      <c r="H858">
        <v>164.86670000000001</v>
      </c>
      <c r="I858" t="s">
        <v>14</v>
      </c>
      <c r="J858" t="str">
        <f t="shared" si="39"/>
        <v>Adult</v>
      </c>
      <c r="K858" t="str">
        <f t="shared" si="40"/>
        <v>High</v>
      </c>
      <c r="L858">
        <f t="shared" si="41"/>
        <v>3</v>
      </c>
    </row>
    <row r="859" spans="1:12">
      <c r="A859">
        <v>1</v>
      </c>
      <c r="B859">
        <v>1</v>
      </c>
      <c r="C859" t="s">
        <v>878</v>
      </c>
      <c r="D859" t="s">
        <v>13</v>
      </c>
      <c r="E859">
        <v>51</v>
      </c>
      <c r="F859">
        <v>0</v>
      </c>
      <c r="G859">
        <v>0</v>
      </c>
      <c r="H859">
        <v>26.55</v>
      </c>
      <c r="I859" t="s">
        <v>14</v>
      </c>
      <c r="J859" t="str">
        <f t="shared" si="39"/>
        <v>Adult</v>
      </c>
      <c r="K859" t="str">
        <f t="shared" si="40"/>
        <v>Low</v>
      </c>
      <c r="L859">
        <f t="shared" si="41"/>
        <v>1</v>
      </c>
    </row>
    <row r="860" spans="1:12">
      <c r="A860">
        <v>1</v>
      </c>
      <c r="B860">
        <v>3</v>
      </c>
      <c r="C860" t="s">
        <v>879</v>
      </c>
      <c r="D860" t="s">
        <v>17</v>
      </c>
      <c r="E860">
        <v>24</v>
      </c>
      <c r="F860">
        <v>0</v>
      </c>
      <c r="G860">
        <v>3</v>
      </c>
      <c r="H860">
        <v>19.258299999999998</v>
      </c>
      <c r="I860" t="s">
        <v>18</v>
      </c>
      <c r="J860" t="str">
        <f t="shared" si="39"/>
        <v>Adult</v>
      </c>
      <c r="K860" t="str">
        <f t="shared" si="40"/>
        <v>Low</v>
      </c>
      <c r="L860">
        <f t="shared" si="41"/>
        <v>4</v>
      </c>
    </row>
    <row r="861" spans="1:12">
      <c r="A861">
        <v>0</v>
      </c>
      <c r="B861">
        <v>3</v>
      </c>
      <c r="C861" t="s">
        <v>880</v>
      </c>
      <c r="D861" t="s">
        <v>13</v>
      </c>
      <c r="F861">
        <v>0</v>
      </c>
      <c r="G861">
        <v>0</v>
      </c>
      <c r="H861">
        <v>7.2291999999999996</v>
      </c>
      <c r="I861" t="s">
        <v>18</v>
      </c>
      <c r="J861" t="str">
        <f t="shared" si="39"/>
        <v>Child</v>
      </c>
      <c r="K861" t="str">
        <f t="shared" si="40"/>
        <v>Low</v>
      </c>
      <c r="L861">
        <f t="shared" si="41"/>
        <v>1</v>
      </c>
    </row>
    <row r="862" spans="1:12">
      <c r="A862">
        <v>0</v>
      </c>
      <c r="B862">
        <v>3</v>
      </c>
      <c r="C862" t="s">
        <v>881</v>
      </c>
      <c r="D862" t="s">
        <v>13</v>
      </c>
      <c r="E862">
        <v>41</v>
      </c>
      <c r="F862">
        <v>2</v>
      </c>
      <c r="G862">
        <v>0</v>
      </c>
      <c r="H862">
        <v>14.1083</v>
      </c>
      <c r="I862" t="s">
        <v>14</v>
      </c>
      <c r="J862" t="str">
        <f t="shared" si="39"/>
        <v>Adult</v>
      </c>
      <c r="K862" t="str">
        <f t="shared" si="40"/>
        <v>Low</v>
      </c>
      <c r="L862">
        <f t="shared" si="41"/>
        <v>3</v>
      </c>
    </row>
    <row r="863" spans="1:12">
      <c r="A863">
        <v>0</v>
      </c>
      <c r="B863">
        <v>2</v>
      </c>
      <c r="C863" t="s">
        <v>882</v>
      </c>
      <c r="D863" t="s">
        <v>13</v>
      </c>
      <c r="E863">
        <v>21</v>
      </c>
      <c r="F863">
        <v>1</v>
      </c>
      <c r="G863">
        <v>0</v>
      </c>
      <c r="H863">
        <v>11.5</v>
      </c>
      <c r="I863" t="s">
        <v>14</v>
      </c>
      <c r="J863" t="str">
        <f t="shared" si="39"/>
        <v>Adult</v>
      </c>
      <c r="K863" t="str">
        <f t="shared" si="40"/>
        <v>Low</v>
      </c>
      <c r="L863">
        <f t="shared" si="41"/>
        <v>2</v>
      </c>
    </row>
    <row r="864" spans="1:12">
      <c r="A864">
        <v>1</v>
      </c>
      <c r="B864">
        <v>1</v>
      </c>
      <c r="C864" t="s">
        <v>883</v>
      </c>
      <c r="D864" t="s">
        <v>17</v>
      </c>
      <c r="E864">
        <v>48</v>
      </c>
      <c r="F864">
        <v>0</v>
      </c>
      <c r="G864">
        <v>0</v>
      </c>
      <c r="H864">
        <v>25.929200000000002</v>
      </c>
      <c r="I864" t="s">
        <v>14</v>
      </c>
      <c r="J864" t="str">
        <f t="shared" si="39"/>
        <v>Adult</v>
      </c>
      <c r="K864" t="str">
        <f t="shared" si="40"/>
        <v>Low</v>
      </c>
      <c r="L864">
        <f t="shared" si="41"/>
        <v>1</v>
      </c>
    </row>
    <row r="865" spans="1:12">
      <c r="A865">
        <v>0</v>
      </c>
      <c r="B865">
        <v>3</v>
      </c>
      <c r="C865" t="s">
        <v>884</v>
      </c>
      <c r="D865" t="s">
        <v>17</v>
      </c>
      <c r="F865">
        <v>8</v>
      </c>
      <c r="G865">
        <v>2</v>
      </c>
      <c r="H865">
        <v>69.55</v>
      </c>
      <c r="I865" t="s">
        <v>14</v>
      </c>
      <c r="J865" t="str">
        <f t="shared" si="39"/>
        <v>Child</v>
      </c>
      <c r="K865" t="str">
        <f t="shared" si="40"/>
        <v>High</v>
      </c>
      <c r="L865">
        <f t="shared" si="41"/>
        <v>11</v>
      </c>
    </row>
    <row r="866" spans="1:12">
      <c r="A866">
        <v>0</v>
      </c>
      <c r="B866">
        <v>2</v>
      </c>
      <c r="C866" t="s">
        <v>885</v>
      </c>
      <c r="D866" t="s">
        <v>13</v>
      </c>
      <c r="E866">
        <v>24</v>
      </c>
      <c r="F866">
        <v>0</v>
      </c>
      <c r="G866">
        <v>0</v>
      </c>
      <c r="H866">
        <v>13</v>
      </c>
      <c r="I866" t="s">
        <v>14</v>
      </c>
      <c r="J866" t="str">
        <f t="shared" si="39"/>
        <v>Adult</v>
      </c>
      <c r="K866" t="str">
        <f t="shared" si="40"/>
        <v>Low</v>
      </c>
      <c r="L866">
        <f t="shared" si="41"/>
        <v>1</v>
      </c>
    </row>
    <row r="867" spans="1:12">
      <c r="A867">
        <v>1</v>
      </c>
      <c r="B867">
        <v>2</v>
      </c>
      <c r="C867" t="s">
        <v>886</v>
      </c>
      <c r="D867" t="s">
        <v>17</v>
      </c>
      <c r="E867">
        <v>42</v>
      </c>
      <c r="F867">
        <v>0</v>
      </c>
      <c r="G867">
        <v>0</v>
      </c>
      <c r="H867">
        <v>13</v>
      </c>
      <c r="I867" t="s">
        <v>14</v>
      </c>
      <c r="J867" t="str">
        <f t="shared" si="39"/>
        <v>Adult</v>
      </c>
      <c r="K867" t="str">
        <f t="shared" si="40"/>
        <v>Low</v>
      </c>
      <c r="L867">
        <f t="shared" si="41"/>
        <v>1</v>
      </c>
    </row>
    <row r="868" spans="1:12">
      <c r="A868">
        <v>1</v>
      </c>
      <c r="B868">
        <v>2</v>
      </c>
      <c r="C868" t="s">
        <v>887</v>
      </c>
      <c r="D868" t="s">
        <v>17</v>
      </c>
      <c r="E868">
        <v>27</v>
      </c>
      <c r="F868">
        <v>1</v>
      </c>
      <c r="G868">
        <v>0</v>
      </c>
      <c r="H868">
        <v>13.8583</v>
      </c>
      <c r="I868" t="s">
        <v>18</v>
      </c>
      <c r="J868" t="str">
        <f t="shared" si="39"/>
        <v>Adult</v>
      </c>
      <c r="K868" t="str">
        <f t="shared" si="40"/>
        <v>Low</v>
      </c>
      <c r="L868">
        <f t="shared" si="41"/>
        <v>2</v>
      </c>
    </row>
    <row r="869" spans="1:12">
      <c r="A869">
        <v>0</v>
      </c>
      <c r="B869">
        <v>1</v>
      </c>
      <c r="C869" t="s">
        <v>888</v>
      </c>
      <c r="D869" t="s">
        <v>13</v>
      </c>
      <c r="E869">
        <v>31</v>
      </c>
      <c r="F869">
        <v>0</v>
      </c>
      <c r="G869">
        <v>0</v>
      </c>
      <c r="H869">
        <v>50.495800000000003</v>
      </c>
      <c r="I869" t="s">
        <v>14</v>
      </c>
      <c r="J869" t="str">
        <f t="shared" si="39"/>
        <v>Adult</v>
      </c>
      <c r="K869" t="str">
        <f t="shared" si="40"/>
        <v>High</v>
      </c>
      <c r="L869">
        <f t="shared" si="41"/>
        <v>1</v>
      </c>
    </row>
    <row r="870" spans="1:12">
      <c r="A870">
        <v>0</v>
      </c>
      <c r="B870">
        <v>3</v>
      </c>
      <c r="C870" t="s">
        <v>889</v>
      </c>
      <c r="D870" t="s">
        <v>13</v>
      </c>
      <c r="F870">
        <v>0</v>
      </c>
      <c r="G870">
        <v>0</v>
      </c>
      <c r="H870">
        <v>9.5</v>
      </c>
      <c r="I870" t="s">
        <v>14</v>
      </c>
      <c r="J870" t="str">
        <f t="shared" si="39"/>
        <v>Child</v>
      </c>
      <c r="K870" t="str">
        <f t="shared" si="40"/>
        <v>Low</v>
      </c>
      <c r="L870">
        <f t="shared" si="41"/>
        <v>1</v>
      </c>
    </row>
    <row r="871" spans="1:12">
      <c r="A871">
        <v>1</v>
      </c>
      <c r="B871">
        <v>3</v>
      </c>
      <c r="C871" t="s">
        <v>890</v>
      </c>
      <c r="D871" t="s">
        <v>13</v>
      </c>
      <c r="E871">
        <v>4</v>
      </c>
      <c r="F871">
        <v>1</v>
      </c>
      <c r="G871">
        <v>1</v>
      </c>
      <c r="H871">
        <v>11.1333</v>
      </c>
      <c r="I871" t="s">
        <v>14</v>
      </c>
      <c r="J871" t="str">
        <f t="shared" si="39"/>
        <v>Child</v>
      </c>
      <c r="K871" t="str">
        <f t="shared" si="40"/>
        <v>Low</v>
      </c>
      <c r="L871">
        <f t="shared" si="41"/>
        <v>3</v>
      </c>
    </row>
    <row r="872" spans="1:12">
      <c r="A872">
        <v>0</v>
      </c>
      <c r="B872">
        <v>3</v>
      </c>
      <c r="C872" t="s">
        <v>891</v>
      </c>
      <c r="D872" t="s">
        <v>13</v>
      </c>
      <c r="E872">
        <v>26</v>
      </c>
      <c r="F872">
        <v>0</v>
      </c>
      <c r="G872">
        <v>0</v>
      </c>
      <c r="H872">
        <v>7.8958000000000004</v>
      </c>
      <c r="I872" t="s">
        <v>14</v>
      </c>
      <c r="J872" t="str">
        <f t="shared" si="39"/>
        <v>Adult</v>
      </c>
      <c r="K872" t="str">
        <f t="shared" si="40"/>
        <v>Low</v>
      </c>
      <c r="L872">
        <f t="shared" si="41"/>
        <v>1</v>
      </c>
    </row>
    <row r="873" spans="1:12">
      <c r="A873">
        <v>1</v>
      </c>
      <c r="B873">
        <v>1</v>
      </c>
      <c r="C873" t="s">
        <v>892</v>
      </c>
      <c r="D873" t="s">
        <v>17</v>
      </c>
      <c r="E873">
        <v>47</v>
      </c>
      <c r="F873">
        <v>1</v>
      </c>
      <c r="G873">
        <v>1</v>
      </c>
      <c r="H873">
        <v>52.554200000000002</v>
      </c>
      <c r="I873" t="s">
        <v>14</v>
      </c>
      <c r="J873" t="str">
        <f t="shared" si="39"/>
        <v>Adult</v>
      </c>
      <c r="K873" t="str">
        <f t="shared" si="40"/>
        <v>High</v>
      </c>
      <c r="L873">
        <f t="shared" si="41"/>
        <v>3</v>
      </c>
    </row>
    <row r="874" spans="1:12">
      <c r="A874">
        <v>0</v>
      </c>
      <c r="B874">
        <v>1</v>
      </c>
      <c r="C874" t="s">
        <v>893</v>
      </c>
      <c r="D874" t="s">
        <v>13</v>
      </c>
      <c r="E874">
        <v>33</v>
      </c>
      <c r="F874">
        <v>0</v>
      </c>
      <c r="G874">
        <v>0</v>
      </c>
      <c r="H874">
        <v>5</v>
      </c>
      <c r="I874" t="s">
        <v>14</v>
      </c>
      <c r="J874" t="str">
        <f t="shared" si="39"/>
        <v>Adult</v>
      </c>
      <c r="K874" t="str">
        <f t="shared" si="40"/>
        <v>Low</v>
      </c>
      <c r="L874">
        <f t="shared" si="41"/>
        <v>1</v>
      </c>
    </row>
    <row r="875" spans="1:12">
      <c r="A875">
        <v>0</v>
      </c>
      <c r="B875">
        <v>3</v>
      </c>
      <c r="C875" t="s">
        <v>894</v>
      </c>
      <c r="D875" t="s">
        <v>13</v>
      </c>
      <c r="E875">
        <v>47</v>
      </c>
      <c r="F875">
        <v>0</v>
      </c>
      <c r="G875">
        <v>0</v>
      </c>
      <c r="H875">
        <v>9</v>
      </c>
      <c r="I875" t="s">
        <v>14</v>
      </c>
      <c r="J875" t="str">
        <f t="shared" si="39"/>
        <v>Adult</v>
      </c>
      <c r="K875" t="str">
        <f t="shared" si="40"/>
        <v>Low</v>
      </c>
      <c r="L875">
        <f t="shared" si="41"/>
        <v>1</v>
      </c>
    </row>
    <row r="876" spans="1:12">
      <c r="A876">
        <v>1</v>
      </c>
      <c r="B876">
        <v>2</v>
      </c>
      <c r="C876" t="s">
        <v>895</v>
      </c>
      <c r="D876" t="s">
        <v>17</v>
      </c>
      <c r="E876">
        <v>28</v>
      </c>
      <c r="F876">
        <v>1</v>
      </c>
      <c r="G876">
        <v>0</v>
      </c>
      <c r="H876">
        <v>24</v>
      </c>
      <c r="I876" t="s">
        <v>18</v>
      </c>
      <c r="J876" t="str">
        <f t="shared" si="39"/>
        <v>Adult</v>
      </c>
      <c r="K876" t="str">
        <f t="shared" si="40"/>
        <v>Low</v>
      </c>
      <c r="L876">
        <f t="shared" si="41"/>
        <v>2</v>
      </c>
    </row>
    <row r="877" spans="1:12">
      <c r="A877">
        <v>1</v>
      </c>
      <c r="B877">
        <v>3</v>
      </c>
      <c r="C877" t="s">
        <v>896</v>
      </c>
      <c r="D877" t="s">
        <v>17</v>
      </c>
      <c r="E877">
        <v>15</v>
      </c>
      <c r="F877">
        <v>0</v>
      </c>
      <c r="G877">
        <v>0</v>
      </c>
      <c r="H877">
        <v>7.2249999999999996</v>
      </c>
      <c r="I877" t="s">
        <v>18</v>
      </c>
      <c r="J877" t="str">
        <f t="shared" si="39"/>
        <v>Child</v>
      </c>
      <c r="K877" t="str">
        <f t="shared" si="40"/>
        <v>Low</v>
      </c>
      <c r="L877">
        <f t="shared" si="41"/>
        <v>1</v>
      </c>
    </row>
    <row r="878" spans="1:12">
      <c r="A878">
        <v>0</v>
      </c>
      <c r="B878">
        <v>3</v>
      </c>
      <c r="C878" t="s">
        <v>897</v>
      </c>
      <c r="D878" t="s">
        <v>13</v>
      </c>
      <c r="E878">
        <v>20</v>
      </c>
      <c r="F878">
        <v>0</v>
      </c>
      <c r="G878">
        <v>0</v>
      </c>
      <c r="H878">
        <v>9.8458000000000006</v>
      </c>
      <c r="I878" t="s">
        <v>14</v>
      </c>
      <c r="J878" t="str">
        <f t="shared" si="39"/>
        <v>Adult</v>
      </c>
      <c r="K878" t="str">
        <f t="shared" si="40"/>
        <v>Low</v>
      </c>
      <c r="L878">
        <f t="shared" si="41"/>
        <v>1</v>
      </c>
    </row>
    <row r="879" spans="1:12">
      <c r="A879">
        <v>0</v>
      </c>
      <c r="B879">
        <v>3</v>
      </c>
      <c r="C879" t="s">
        <v>898</v>
      </c>
      <c r="D879" t="s">
        <v>13</v>
      </c>
      <c r="E879">
        <v>19</v>
      </c>
      <c r="F879">
        <v>0</v>
      </c>
      <c r="G879">
        <v>0</v>
      </c>
      <c r="H879">
        <v>7.8958000000000004</v>
      </c>
      <c r="I879" t="s">
        <v>14</v>
      </c>
      <c r="J879" t="str">
        <f t="shared" si="39"/>
        <v>Adult</v>
      </c>
      <c r="K879" t="str">
        <f t="shared" si="40"/>
        <v>Low</v>
      </c>
      <c r="L879">
        <f t="shared" si="41"/>
        <v>1</v>
      </c>
    </row>
    <row r="880" spans="1:12">
      <c r="A880">
        <v>0</v>
      </c>
      <c r="B880">
        <v>3</v>
      </c>
      <c r="C880" t="s">
        <v>899</v>
      </c>
      <c r="D880" t="s">
        <v>13</v>
      </c>
      <c r="F880">
        <v>0</v>
      </c>
      <c r="G880">
        <v>0</v>
      </c>
      <c r="H880">
        <v>7.8958000000000004</v>
      </c>
      <c r="I880" t="s">
        <v>14</v>
      </c>
      <c r="J880" t="str">
        <f t="shared" si="39"/>
        <v>Child</v>
      </c>
      <c r="K880" t="str">
        <f t="shared" si="40"/>
        <v>Low</v>
      </c>
      <c r="L880">
        <f t="shared" si="41"/>
        <v>1</v>
      </c>
    </row>
    <row r="881" spans="1:12">
      <c r="A881">
        <v>1</v>
      </c>
      <c r="B881">
        <v>1</v>
      </c>
      <c r="C881" t="s">
        <v>900</v>
      </c>
      <c r="D881" t="s">
        <v>17</v>
      </c>
      <c r="E881">
        <v>56</v>
      </c>
      <c r="F881">
        <v>0</v>
      </c>
      <c r="G881">
        <v>1</v>
      </c>
      <c r="H881">
        <v>83.158299999999997</v>
      </c>
      <c r="I881" t="s">
        <v>18</v>
      </c>
      <c r="J881" t="str">
        <f t="shared" si="39"/>
        <v>Adult</v>
      </c>
      <c r="K881" t="str">
        <f t="shared" si="40"/>
        <v>High</v>
      </c>
      <c r="L881">
        <f t="shared" si="41"/>
        <v>2</v>
      </c>
    </row>
    <row r="882" spans="1:12">
      <c r="A882">
        <v>1</v>
      </c>
      <c r="B882">
        <v>2</v>
      </c>
      <c r="C882" t="s">
        <v>901</v>
      </c>
      <c r="D882" t="s">
        <v>17</v>
      </c>
      <c r="E882">
        <v>25</v>
      </c>
      <c r="F882">
        <v>0</v>
      </c>
      <c r="G882">
        <v>1</v>
      </c>
      <c r="H882">
        <v>26</v>
      </c>
      <c r="I882" t="s">
        <v>14</v>
      </c>
      <c r="J882" t="str">
        <f t="shared" si="39"/>
        <v>Adult</v>
      </c>
      <c r="K882" t="str">
        <f t="shared" si="40"/>
        <v>Low</v>
      </c>
      <c r="L882">
        <f t="shared" si="41"/>
        <v>2</v>
      </c>
    </row>
    <row r="883" spans="1:12">
      <c r="A883">
        <v>0</v>
      </c>
      <c r="B883">
        <v>3</v>
      </c>
      <c r="C883" t="s">
        <v>902</v>
      </c>
      <c r="D883" t="s">
        <v>13</v>
      </c>
      <c r="E883">
        <v>33</v>
      </c>
      <c r="F883">
        <v>0</v>
      </c>
      <c r="G883">
        <v>0</v>
      </c>
      <c r="H883">
        <v>7.8958000000000004</v>
      </c>
      <c r="I883" t="s">
        <v>14</v>
      </c>
      <c r="J883" t="str">
        <f t="shared" si="39"/>
        <v>Adult</v>
      </c>
      <c r="K883" t="str">
        <f t="shared" si="40"/>
        <v>Low</v>
      </c>
      <c r="L883">
        <f t="shared" si="41"/>
        <v>1</v>
      </c>
    </row>
    <row r="884" spans="1:12">
      <c r="A884">
        <v>0</v>
      </c>
      <c r="B884">
        <v>3</v>
      </c>
      <c r="C884" t="s">
        <v>903</v>
      </c>
      <c r="D884" t="s">
        <v>17</v>
      </c>
      <c r="E884">
        <v>22</v>
      </c>
      <c r="F884">
        <v>0</v>
      </c>
      <c r="G884">
        <v>0</v>
      </c>
      <c r="H884">
        <v>10.5167</v>
      </c>
      <c r="I884" t="s">
        <v>14</v>
      </c>
      <c r="J884" t="str">
        <f t="shared" si="39"/>
        <v>Adult</v>
      </c>
      <c r="K884" t="str">
        <f t="shared" si="40"/>
        <v>Low</v>
      </c>
      <c r="L884">
        <f t="shared" si="41"/>
        <v>1</v>
      </c>
    </row>
    <row r="885" spans="1:12">
      <c r="A885">
        <v>0</v>
      </c>
      <c r="B885">
        <v>2</v>
      </c>
      <c r="C885" t="s">
        <v>904</v>
      </c>
      <c r="D885" t="s">
        <v>13</v>
      </c>
      <c r="E885">
        <v>28</v>
      </c>
      <c r="F885">
        <v>0</v>
      </c>
      <c r="G885">
        <v>0</v>
      </c>
      <c r="H885">
        <v>10.5</v>
      </c>
      <c r="I885" t="s">
        <v>14</v>
      </c>
      <c r="J885" t="str">
        <f t="shared" si="39"/>
        <v>Adult</v>
      </c>
      <c r="K885" t="str">
        <f t="shared" si="40"/>
        <v>Low</v>
      </c>
      <c r="L885">
        <f t="shared" si="41"/>
        <v>1</v>
      </c>
    </row>
    <row r="886" spans="1:12">
      <c r="A886">
        <v>0</v>
      </c>
      <c r="B886">
        <v>3</v>
      </c>
      <c r="C886" t="s">
        <v>905</v>
      </c>
      <c r="D886" t="s">
        <v>13</v>
      </c>
      <c r="E886">
        <v>25</v>
      </c>
      <c r="F886">
        <v>0</v>
      </c>
      <c r="G886">
        <v>0</v>
      </c>
      <c r="H886">
        <v>7.05</v>
      </c>
      <c r="I886" t="s">
        <v>14</v>
      </c>
      <c r="J886" t="str">
        <f t="shared" si="39"/>
        <v>Adult</v>
      </c>
      <c r="K886" t="str">
        <f t="shared" si="40"/>
        <v>Low</v>
      </c>
      <c r="L886">
        <f t="shared" si="41"/>
        <v>1</v>
      </c>
    </row>
    <row r="887" spans="1:12">
      <c r="A887">
        <v>0</v>
      </c>
      <c r="B887">
        <v>3</v>
      </c>
      <c r="C887" t="s">
        <v>906</v>
      </c>
      <c r="D887" t="s">
        <v>17</v>
      </c>
      <c r="E887">
        <v>39</v>
      </c>
      <c r="F887">
        <v>0</v>
      </c>
      <c r="G887">
        <v>5</v>
      </c>
      <c r="H887">
        <v>29.125</v>
      </c>
      <c r="I887" t="s">
        <v>26</v>
      </c>
      <c r="J887" t="str">
        <f t="shared" si="39"/>
        <v>Adult</v>
      </c>
      <c r="K887" t="str">
        <f t="shared" si="40"/>
        <v>Low</v>
      </c>
      <c r="L887">
        <f t="shared" si="41"/>
        <v>6</v>
      </c>
    </row>
    <row r="888" spans="1:12">
      <c r="A888">
        <v>0</v>
      </c>
      <c r="B888">
        <v>2</v>
      </c>
      <c r="C888" t="s">
        <v>907</v>
      </c>
      <c r="D888" t="s">
        <v>13</v>
      </c>
      <c r="E888">
        <v>27</v>
      </c>
      <c r="F888">
        <v>0</v>
      </c>
      <c r="G888">
        <v>0</v>
      </c>
      <c r="H888">
        <v>13</v>
      </c>
      <c r="I888" t="s">
        <v>14</v>
      </c>
      <c r="J888" t="str">
        <f t="shared" si="39"/>
        <v>Adult</v>
      </c>
      <c r="K888" t="str">
        <f t="shared" si="40"/>
        <v>Low</v>
      </c>
      <c r="L888">
        <f t="shared" si="41"/>
        <v>1</v>
      </c>
    </row>
    <row r="889" spans="1:12">
      <c r="A889">
        <v>1</v>
      </c>
      <c r="B889">
        <v>1</v>
      </c>
      <c r="C889" t="s">
        <v>908</v>
      </c>
      <c r="D889" t="s">
        <v>17</v>
      </c>
      <c r="E889">
        <v>19</v>
      </c>
      <c r="F889">
        <v>0</v>
      </c>
      <c r="G889">
        <v>0</v>
      </c>
      <c r="H889">
        <v>30</v>
      </c>
      <c r="I889" t="s">
        <v>14</v>
      </c>
      <c r="J889" t="str">
        <f t="shared" si="39"/>
        <v>Adult</v>
      </c>
      <c r="K889" t="str">
        <f t="shared" si="40"/>
        <v>Low</v>
      </c>
      <c r="L889">
        <f t="shared" si="41"/>
        <v>1</v>
      </c>
    </row>
    <row r="890" spans="1:12">
      <c r="A890">
        <v>0</v>
      </c>
      <c r="B890">
        <v>3</v>
      </c>
      <c r="C890" t="s">
        <v>909</v>
      </c>
      <c r="D890" t="s">
        <v>17</v>
      </c>
      <c r="F890">
        <v>1</v>
      </c>
      <c r="G890">
        <v>2</v>
      </c>
      <c r="H890">
        <v>23.45</v>
      </c>
      <c r="I890" t="s">
        <v>14</v>
      </c>
      <c r="J890" t="str">
        <f t="shared" si="39"/>
        <v>Child</v>
      </c>
      <c r="K890" t="str">
        <f t="shared" si="40"/>
        <v>Low</v>
      </c>
      <c r="L890">
        <f t="shared" si="41"/>
        <v>4</v>
      </c>
    </row>
    <row r="891" spans="1:12">
      <c r="A891">
        <v>1</v>
      </c>
      <c r="B891">
        <v>1</v>
      </c>
      <c r="C891" t="s">
        <v>910</v>
      </c>
      <c r="D891" t="s">
        <v>13</v>
      </c>
      <c r="E891">
        <v>26</v>
      </c>
      <c r="F891">
        <v>0</v>
      </c>
      <c r="G891">
        <v>0</v>
      </c>
      <c r="H891">
        <v>30</v>
      </c>
      <c r="I891" t="s">
        <v>18</v>
      </c>
      <c r="J891" t="str">
        <f t="shared" si="39"/>
        <v>Adult</v>
      </c>
      <c r="K891" t="str">
        <f t="shared" si="40"/>
        <v>Low</v>
      </c>
      <c r="L891">
        <f t="shared" si="41"/>
        <v>1</v>
      </c>
    </row>
    <row r="892" spans="1:12">
      <c r="A892">
        <v>0</v>
      </c>
      <c r="B892">
        <v>3</v>
      </c>
      <c r="C892" t="s">
        <v>911</v>
      </c>
      <c r="D892" t="s">
        <v>13</v>
      </c>
      <c r="E892">
        <v>32</v>
      </c>
      <c r="F892">
        <v>0</v>
      </c>
      <c r="G892">
        <v>0</v>
      </c>
      <c r="H892">
        <v>7.75</v>
      </c>
      <c r="I892" t="s">
        <v>26</v>
      </c>
      <c r="J892" t="str">
        <f t="shared" si="39"/>
        <v>Adult</v>
      </c>
      <c r="K892" t="str">
        <f t="shared" si="40"/>
        <v>Low</v>
      </c>
      <c r="L892">
        <f t="shared" si="41"/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880F3-21C7-4FF6-B32A-E9DB9FE4551D}">
  <dimension ref="A3:D5"/>
  <sheetViews>
    <sheetView workbookViewId="0">
      <selection activeCell="M18" sqref="M18"/>
    </sheetView>
  </sheetViews>
  <sheetFormatPr defaultRowHeight="15"/>
  <cols>
    <col min="1" max="1" width="15.7109375" bestFit="1" customWidth="1"/>
    <col min="2" max="2" width="7.42578125" bestFit="1" customWidth="1"/>
    <col min="3" max="3" width="5.5703125" bestFit="1" customWidth="1"/>
    <col min="4" max="5" width="11.7109375" bestFit="1" customWidth="1"/>
  </cols>
  <sheetData>
    <row r="3" spans="1:4">
      <c r="B3" s="1" t="s">
        <v>3</v>
      </c>
    </row>
    <row r="4" spans="1:4">
      <c r="B4" t="s">
        <v>17</v>
      </c>
      <c r="C4" t="s">
        <v>13</v>
      </c>
      <c r="D4" t="s">
        <v>912</v>
      </c>
    </row>
    <row r="5" spans="1:4">
      <c r="A5" t="s">
        <v>913</v>
      </c>
      <c r="B5">
        <v>233</v>
      </c>
      <c r="C5">
        <v>109</v>
      </c>
      <c r="D5">
        <v>342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32445-F1C9-4F36-99FE-D82131F64223}">
  <dimension ref="A3:E5"/>
  <sheetViews>
    <sheetView workbookViewId="0">
      <selection activeCell="E4" sqref="E4"/>
    </sheetView>
  </sheetViews>
  <sheetFormatPr defaultRowHeight="15"/>
  <cols>
    <col min="1" max="1" width="13.28515625" bestFit="1" customWidth="1"/>
    <col min="2" max="2" width="9.5703125" bestFit="1" customWidth="1"/>
    <col min="3" max="4" width="4.42578125" bestFit="1" customWidth="1"/>
    <col min="5" max="6" width="11.7109375" bestFit="1" customWidth="1"/>
    <col min="7" max="9" width="8.28515625" bestFit="1" customWidth="1"/>
    <col min="10" max="10" width="6.140625" bestFit="1" customWidth="1"/>
    <col min="11" max="11" width="8.28515625" bestFit="1" customWidth="1"/>
    <col min="12" max="12" width="6.140625" bestFit="1" customWidth="1"/>
    <col min="13" max="13" width="5.140625" bestFit="1" customWidth="1"/>
    <col min="14" max="14" width="8.28515625" bestFit="1" customWidth="1"/>
    <col min="15" max="15" width="5.140625" bestFit="1" customWidth="1"/>
    <col min="16" max="16" width="3.28515625" bestFit="1" customWidth="1"/>
    <col min="17" max="17" width="5.140625" bestFit="1" customWidth="1"/>
    <col min="18" max="18" width="8.28515625" bestFit="1" customWidth="1"/>
    <col min="19" max="19" width="3.28515625" bestFit="1" customWidth="1"/>
    <col min="20" max="20" width="8.28515625" bestFit="1" customWidth="1"/>
    <col min="21" max="21" width="5.140625" bestFit="1" customWidth="1"/>
    <col min="22" max="23" width="8.28515625" bestFit="1" customWidth="1"/>
    <col min="24" max="24" width="3.28515625" bestFit="1" customWidth="1"/>
    <col min="25" max="28" width="5.140625" bestFit="1" customWidth="1"/>
    <col min="29" max="29" width="7.140625" bestFit="1" customWidth="1"/>
    <col min="30" max="32" width="5.140625" bestFit="1" customWidth="1"/>
    <col min="33" max="33" width="8.28515625" bestFit="1" customWidth="1"/>
    <col min="34" max="34" width="3.28515625" bestFit="1" customWidth="1"/>
    <col min="35" max="37" width="8.28515625" bestFit="1" customWidth="1"/>
    <col min="38" max="38" width="3.28515625" bestFit="1" customWidth="1"/>
    <col min="39" max="39" width="8.28515625" bestFit="1" customWidth="1"/>
    <col min="40" max="40" width="5.140625" bestFit="1" customWidth="1"/>
    <col min="41" max="41" width="3.28515625" bestFit="1" customWidth="1"/>
    <col min="42" max="42" width="8.28515625" bestFit="1" customWidth="1"/>
    <col min="43" max="43" width="5.140625" bestFit="1" customWidth="1"/>
    <col min="44" max="44" width="8.28515625" bestFit="1" customWidth="1"/>
    <col min="45" max="45" width="3.28515625" bestFit="1" customWidth="1"/>
    <col min="46" max="46" width="8.28515625" bestFit="1" customWidth="1"/>
    <col min="47" max="47" width="5.140625" bestFit="1" customWidth="1"/>
    <col min="48" max="48" width="7.140625" bestFit="1" customWidth="1"/>
    <col min="49" max="51" width="8.28515625" bestFit="1" customWidth="1"/>
    <col min="52" max="53" width="5.140625" bestFit="1" customWidth="1"/>
    <col min="54" max="54" width="3.28515625" bestFit="1" customWidth="1"/>
    <col min="55" max="55" width="8.28515625" bestFit="1" customWidth="1"/>
    <col min="56" max="56" width="6.140625" bestFit="1" customWidth="1"/>
    <col min="57" max="61" width="8.28515625" bestFit="1" customWidth="1"/>
    <col min="62" max="62" width="6.140625" bestFit="1" customWidth="1"/>
    <col min="63" max="63" width="5.140625" bestFit="1" customWidth="1"/>
    <col min="64" max="64" width="6.140625" bestFit="1" customWidth="1"/>
    <col min="65" max="65" width="3.28515625" bestFit="1" customWidth="1"/>
    <col min="66" max="68" width="8.28515625" bestFit="1" customWidth="1"/>
    <col min="69" max="69" width="7.140625" bestFit="1" customWidth="1"/>
    <col min="70" max="70" width="5.140625" bestFit="1" customWidth="1"/>
    <col min="71" max="71" width="8.28515625" bestFit="1" customWidth="1"/>
    <col min="72" max="72" width="3.28515625" bestFit="1" customWidth="1"/>
    <col min="73" max="73" width="8.28515625" bestFit="1" customWidth="1"/>
    <col min="74" max="74" width="5.140625" bestFit="1" customWidth="1"/>
    <col min="75" max="75" width="8.28515625" bestFit="1" customWidth="1"/>
    <col min="76" max="76" width="6.140625" bestFit="1" customWidth="1"/>
    <col min="77" max="77" width="9.28515625" bestFit="1" customWidth="1"/>
    <col min="78" max="78" width="8.28515625" bestFit="1" customWidth="1"/>
    <col min="79" max="79" width="4.42578125" bestFit="1" customWidth="1"/>
    <col min="80" max="80" width="7.140625" bestFit="1" customWidth="1"/>
    <col min="81" max="81" width="6.140625" bestFit="1" customWidth="1"/>
    <col min="82" max="83" width="9.28515625" bestFit="1" customWidth="1"/>
    <col min="84" max="84" width="7.140625" bestFit="1" customWidth="1"/>
    <col min="85" max="87" width="9.28515625" bestFit="1" customWidth="1"/>
    <col min="88" max="88" width="6.140625" bestFit="1" customWidth="1"/>
    <col min="89" max="89" width="9.28515625" bestFit="1" customWidth="1"/>
    <col min="90" max="90" width="8.28515625" bestFit="1" customWidth="1"/>
    <col min="91" max="91" width="9.28515625" bestFit="1" customWidth="1"/>
    <col min="92" max="92" width="8.28515625" bestFit="1" customWidth="1"/>
    <col min="93" max="93" width="4.42578125" bestFit="1" customWidth="1"/>
    <col min="94" max="94" width="9.28515625" bestFit="1" customWidth="1"/>
    <col min="95" max="95" width="7.28515625" bestFit="1" customWidth="1"/>
    <col min="96" max="96" width="4.140625" bestFit="1" customWidth="1"/>
    <col min="97" max="98" width="5.140625" bestFit="1" customWidth="1"/>
    <col min="99" max="99" width="3.28515625" bestFit="1" customWidth="1"/>
    <col min="100" max="100" width="7.140625" bestFit="1" customWidth="1"/>
    <col min="101" max="101" width="6.140625" bestFit="1" customWidth="1"/>
    <col min="102" max="102" width="7.140625" bestFit="1" customWidth="1"/>
    <col min="103" max="103" width="6.140625" bestFit="1" customWidth="1"/>
    <col min="104" max="104" width="7.140625" bestFit="1" customWidth="1"/>
    <col min="105" max="105" width="3.28515625" bestFit="1" customWidth="1"/>
    <col min="106" max="106" width="5.140625" bestFit="1" customWidth="1"/>
    <col min="107" max="109" width="8.28515625" bestFit="1" customWidth="1"/>
    <col min="110" max="110" width="3.28515625" bestFit="1" customWidth="1"/>
    <col min="111" max="111" width="5.140625" bestFit="1" customWidth="1"/>
    <col min="112" max="112" width="3.28515625" bestFit="1" customWidth="1"/>
    <col min="113" max="113" width="8.28515625" bestFit="1" customWidth="1"/>
    <col min="114" max="115" width="6.140625" bestFit="1" customWidth="1"/>
    <col min="116" max="116" width="3.28515625" bestFit="1" customWidth="1"/>
    <col min="117" max="117" width="6.140625" bestFit="1" customWidth="1"/>
    <col min="118" max="118" width="5.140625" bestFit="1" customWidth="1"/>
    <col min="119" max="122" width="3.28515625" bestFit="1" customWidth="1"/>
    <col min="123" max="123" width="6.140625" bestFit="1" customWidth="1"/>
    <col min="124" max="124" width="3.28515625" bestFit="1" customWidth="1"/>
    <col min="125" max="125" width="8.28515625" bestFit="1" customWidth="1"/>
    <col min="126" max="126" width="6.140625" bestFit="1" customWidth="1"/>
    <col min="127" max="128" width="3.28515625" bestFit="1" customWidth="1"/>
    <col min="129" max="129" width="8.28515625" bestFit="1" customWidth="1"/>
    <col min="130" max="130" width="5.140625" bestFit="1" customWidth="1"/>
    <col min="131" max="131" width="3.28515625" bestFit="1" customWidth="1"/>
    <col min="132" max="132" width="6.140625" bestFit="1" customWidth="1"/>
    <col min="133" max="133" width="8.28515625" bestFit="1" customWidth="1"/>
    <col min="134" max="134" width="3.28515625" bestFit="1" customWidth="1"/>
    <col min="135" max="135" width="8.28515625" bestFit="1" customWidth="1"/>
    <col min="136" max="136" width="3.28515625" bestFit="1" customWidth="1"/>
    <col min="137" max="137" width="5.140625" bestFit="1" customWidth="1"/>
    <col min="138" max="138" width="7.28515625" bestFit="1" customWidth="1"/>
    <col min="139" max="139" width="4.140625" bestFit="1" customWidth="1"/>
    <col min="140" max="142" width="7.140625" bestFit="1" customWidth="1"/>
    <col min="143" max="143" width="5.140625" bestFit="1" customWidth="1"/>
    <col min="144" max="144" width="7.140625" bestFit="1" customWidth="1"/>
    <col min="145" max="145" width="5.140625" bestFit="1" customWidth="1"/>
    <col min="146" max="146" width="7.140625" bestFit="1" customWidth="1"/>
    <col min="147" max="147" width="5.140625" bestFit="1" customWidth="1"/>
    <col min="148" max="148" width="6.140625" bestFit="1" customWidth="1"/>
    <col min="149" max="149" width="7.140625" bestFit="1" customWidth="1"/>
    <col min="150" max="150" width="5.140625" bestFit="1" customWidth="1"/>
    <col min="151" max="151" width="7.140625" bestFit="1" customWidth="1"/>
    <col min="152" max="152" width="6.140625" bestFit="1" customWidth="1"/>
    <col min="153" max="153" width="7.140625" bestFit="1" customWidth="1"/>
    <col min="154" max="154" width="6.140625" bestFit="1" customWidth="1"/>
    <col min="155" max="155" width="7.140625" bestFit="1" customWidth="1"/>
    <col min="156" max="156" width="5.140625" bestFit="1" customWidth="1"/>
    <col min="157" max="159" width="7.140625" bestFit="1" customWidth="1"/>
    <col min="160" max="160" width="5.140625" bestFit="1" customWidth="1"/>
    <col min="161" max="161" width="7.140625" bestFit="1" customWidth="1"/>
    <col min="162" max="162" width="5.140625" bestFit="1" customWidth="1"/>
    <col min="163" max="163" width="6.140625" bestFit="1" customWidth="1"/>
    <col min="164" max="167" width="7.140625" bestFit="1" customWidth="1"/>
    <col min="168" max="168" width="5.140625" bestFit="1" customWidth="1"/>
    <col min="169" max="169" width="6.140625" bestFit="1" customWidth="1"/>
    <col min="170" max="171" width="7.140625" bestFit="1" customWidth="1"/>
    <col min="172" max="172" width="4.140625" bestFit="1" customWidth="1"/>
    <col min="173" max="174" width="7.140625" bestFit="1" customWidth="1"/>
    <col min="175" max="175" width="6.140625" bestFit="1" customWidth="1"/>
    <col min="176" max="178" width="7.140625" bestFit="1" customWidth="1"/>
    <col min="179" max="179" width="6.140625" bestFit="1" customWidth="1"/>
    <col min="180" max="180" width="7.140625" bestFit="1" customWidth="1"/>
    <col min="181" max="181" width="5.140625" bestFit="1" customWidth="1"/>
    <col min="182" max="184" width="7.140625" bestFit="1" customWidth="1"/>
    <col min="185" max="185" width="4.140625" bestFit="1" customWidth="1"/>
    <col min="186" max="194" width="7.140625" bestFit="1" customWidth="1"/>
    <col min="195" max="195" width="5.140625" bestFit="1" customWidth="1"/>
    <col min="196" max="196" width="2.28515625" bestFit="1" customWidth="1"/>
    <col min="197" max="197" width="7.140625" bestFit="1" customWidth="1"/>
    <col min="198" max="198" width="6.140625" bestFit="1" customWidth="1"/>
    <col min="199" max="199" width="5.140625" bestFit="1" customWidth="1"/>
    <col min="200" max="200" width="6.140625" bestFit="1" customWidth="1"/>
    <col min="201" max="201" width="7.140625" bestFit="1" customWidth="1"/>
    <col min="202" max="202" width="4.140625" bestFit="1" customWidth="1"/>
    <col min="203" max="203" width="7.140625" bestFit="1" customWidth="1"/>
    <col min="204" max="204" width="6.140625" bestFit="1" customWidth="1"/>
    <col min="205" max="207" width="7.140625" bestFit="1" customWidth="1"/>
    <col min="208" max="213" width="8.28515625" bestFit="1" customWidth="1"/>
    <col min="214" max="214" width="7.140625" bestFit="1" customWidth="1"/>
    <col min="215" max="216" width="8.28515625" bestFit="1" customWidth="1"/>
    <col min="217" max="217" width="5.140625" bestFit="1" customWidth="1"/>
    <col min="218" max="219" width="8.28515625" bestFit="1" customWidth="1"/>
    <col min="220" max="221" width="5.140625" bestFit="1" customWidth="1"/>
    <col min="222" max="222" width="8.28515625" bestFit="1" customWidth="1"/>
    <col min="223" max="223" width="5.140625" bestFit="1" customWidth="1"/>
    <col min="224" max="224" width="6.140625" bestFit="1" customWidth="1"/>
    <col min="225" max="225" width="8.28515625" bestFit="1" customWidth="1"/>
    <col min="226" max="226" width="6.140625" bestFit="1" customWidth="1"/>
    <col min="227" max="231" width="5.140625" bestFit="1" customWidth="1"/>
    <col min="232" max="232" width="3.28515625" bestFit="1" customWidth="1"/>
    <col min="233" max="236" width="8.28515625" bestFit="1" customWidth="1"/>
    <col min="237" max="237" width="6.140625" bestFit="1" customWidth="1"/>
    <col min="238" max="240" width="7.140625" bestFit="1" customWidth="1"/>
    <col min="241" max="241" width="8.28515625" bestFit="1" customWidth="1"/>
    <col min="242" max="242" width="7.140625" bestFit="1" customWidth="1"/>
    <col min="243" max="243" width="8.28515625" bestFit="1" customWidth="1"/>
    <col min="244" max="244" width="7.140625" bestFit="1" customWidth="1"/>
    <col min="245" max="247" width="6.140625" bestFit="1" customWidth="1"/>
    <col min="248" max="248" width="8.28515625" bestFit="1" customWidth="1"/>
    <col min="249" max="249" width="5.140625" bestFit="1" customWidth="1"/>
    <col min="250" max="251" width="7.140625" bestFit="1" customWidth="1"/>
    <col min="252" max="252" width="8.28515625" bestFit="1" customWidth="1"/>
    <col min="253" max="253" width="7.140625" bestFit="1" customWidth="1"/>
    <col min="254" max="254" width="8.28515625" bestFit="1" customWidth="1"/>
    <col min="255" max="255" width="5.140625" bestFit="1" customWidth="1"/>
    <col min="256" max="256" width="8.28515625" bestFit="1" customWidth="1"/>
    <col min="257" max="257" width="6.140625" bestFit="1" customWidth="1"/>
    <col min="258" max="258" width="7.28515625" bestFit="1" customWidth="1"/>
    <col min="259" max="259" width="9.28515625" bestFit="1" customWidth="1"/>
    <col min="260" max="260" width="12.42578125" bestFit="1" customWidth="1"/>
    <col min="261" max="261" width="11.7109375" bestFit="1" customWidth="1"/>
  </cols>
  <sheetData>
    <row r="3" spans="1:5">
      <c r="B3" s="1" t="s">
        <v>1</v>
      </c>
    </row>
    <row r="4" spans="1:5">
      <c r="B4">
        <v>1</v>
      </c>
      <c r="C4">
        <v>2</v>
      </c>
      <c r="D4">
        <v>3</v>
      </c>
      <c r="E4" t="s">
        <v>912</v>
      </c>
    </row>
    <row r="5" spans="1:5">
      <c r="A5" t="s">
        <v>914</v>
      </c>
      <c r="B5">
        <v>216</v>
      </c>
      <c r="C5">
        <v>184</v>
      </c>
      <c r="D5">
        <v>491</v>
      </c>
      <c r="E5">
        <v>891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CCCD6-0189-4591-AEB7-567552C8EEC5}">
  <dimension ref="A2:B6"/>
  <sheetViews>
    <sheetView workbookViewId="0">
      <selection activeCell="N13" sqref="N13"/>
    </sheetView>
  </sheetViews>
  <sheetFormatPr defaultRowHeight="15"/>
  <cols>
    <col min="1" max="1" width="13.28515625" bestFit="1" customWidth="1"/>
    <col min="2" max="2" width="19.28515625" bestFit="1" customWidth="1"/>
    <col min="3" max="3" width="3.28515625" bestFit="1" customWidth="1"/>
    <col min="4" max="4" width="4.42578125" bestFit="1" customWidth="1"/>
    <col min="5" max="5" width="7.42578125" bestFit="1" customWidth="1"/>
    <col min="6" max="6" width="11.7109375" bestFit="1" customWidth="1"/>
    <col min="7" max="7" width="2.140625" bestFit="1" customWidth="1"/>
    <col min="8" max="8" width="7.42578125" bestFit="1" customWidth="1"/>
    <col min="9" max="9" width="7.28515625" bestFit="1" customWidth="1"/>
    <col min="10" max="10" width="9.28515625" bestFit="1" customWidth="1"/>
    <col min="11" max="11" width="12.42578125" bestFit="1" customWidth="1"/>
    <col min="12" max="12" width="11.7109375" bestFit="1" customWidth="1"/>
  </cols>
  <sheetData>
    <row r="2" spans="1:2">
      <c r="A2" s="1" t="s">
        <v>8</v>
      </c>
      <c r="B2" t="s">
        <v>915</v>
      </c>
    </row>
    <row r="3" spans="1:2">
      <c r="A3" t="s">
        <v>18</v>
      </c>
      <c r="B3">
        <v>0.5535714285714286</v>
      </c>
    </row>
    <row r="4" spans="1:2">
      <c r="A4" t="s">
        <v>26</v>
      </c>
      <c r="B4">
        <v>0.38961038961038963</v>
      </c>
    </row>
    <row r="5" spans="1:2">
      <c r="A5" t="s">
        <v>14</v>
      </c>
      <c r="B5">
        <v>0.33695652173913043</v>
      </c>
    </row>
    <row r="6" spans="1:2">
      <c r="A6" t="s">
        <v>912</v>
      </c>
      <c r="B6">
        <v>0.38245219347581555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5915C-767D-45C9-B803-5010A6C08020}">
  <dimension ref="A2:B9"/>
  <sheetViews>
    <sheetView tabSelected="1" topLeftCell="A2" workbookViewId="0">
      <selection activeCell="A9" sqref="A9"/>
    </sheetView>
  </sheetViews>
  <sheetFormatPr defaultRowHeight="15"/>
  <cols>
    <col min="1" max="1" width="11.7109375" bestFit="1" customWidth="1"/>
    <col min="2" max="2" width="15.28515625" bestFit="1" customWidth="1"/>
  </cols>
  <sheetData>
    <row r="2" spans="1:2">
      <c r="A2" s="1" t="s">
        <v>1</v>
      </c>
      <c r="B2" t="s">
        <v>916</v>
      </c>
    </row>
    <row r="3" spans="1:2">
      <c r="A3">
        <v>1</v>
      </c>
      <c r="B3">
        <v>84.154687499999923</v>
      </c>
    </row>
    <row r="4" spans="1:2">
      <c r="A4">
        <v>2</v>
      </c>
      <c r="B4">
        <v>20.66218315217391</v>
      </c>
    </row>
    <row r="5" spans="1:2">
      <c r="A5">
        <v>3</v>
      </c>
      <c r="B5">
        <v>13.675550101832997</v>
      </c>
    </row>
    <row r="6" spans="1:2">
      <c r="A6" t="s">
        <v>912</v>
      </c>
      <c r="B6">
        <v>32.204207968574572</v>
      </c>
    </row>
    <row r="9" spans="1:2">
      <c r="A9" t="s">
        <v>917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307E4-B458-4000-82CB-691A2AD1505B}">
  <dimension ref="A2:E10"/>
  <sheetViews>
    <sheetView topLeftCell="N1" workbookViewId="0">
      <selection activeCell="A10" sqref="A10"/>
    </sheetView>
  </sheetViews>
  <sheetFormatPr defaultRowHeight="15"/>
  <cols>
    <col min="1" max="1" width="15.7109375" bestFit="1" customWidth="1"/>
    <col min="2" max="2" width="7.42578125" bestFit="1" customWidth="1"/>
    <col min="3" max="3" width="5.5703125" bestFit="1" customWidth="1"/>
    <col min="4" max="4" width="7.42578125" bestFit="1" customWidth="1"/>
    <col min="5" max="5" width="11.7109375" bestFit="1" customWidth="1"/>
  </cols>
  <sheetData>
    <row r="2" spans="1:5">
      <c r="A2" s="1" t="s">
        <v>913</v>
      </c>
      <c r="B2" s="1" t="s">
        <v>3</v>
      </c>
    </row>
    <row r="3" spans="1:5">
      <c r="A3" s="1" t="s">
        <v>8</v>
      </c>
      <c r="B3" t="s">
        <v>17</v>
      </c>
      <c r="C3" t="s">
        <v>13</v>
      </c>
      <c r="D3" t="s">
        <v>918</v>
      </c>
      <c r="E3" t="s">
        <v>912</v>
      </c>
    </row>
    <row r="4" spans="1:5">
      <c r="A4" t="s">
        <v>18</v>
      </c>
      <c r="B4">
        <v>64</v>
      </c>
      <c r="C4">
        <v>29</v>
      </c>
      <c r="E4">
        <v>93</v>
      </c>
    </row>
    <row r="5" spans="1:5">
      <c r="A5" t="s">
        <v>26</v>
      </c>
      <c r="B5">
        <v>27</v>
      </c>
      <c r="C5">
        <v>3</v>
      </c>
      <c r="E5">
        <v>30</v>
      </c>
    </row>
    <row r="6" spans="1:5">
      <c r="A6" t="s">
        <v>14</v>
      </c>
      <c r="B6">
        <v>140</v>
      </c>
      <c r="C6">
        <v>77</v>
      </c>
      <c r="E6">
        <v>217</v>
      </c>
    </row>
    <row r="7" spans="1:5">
      <c r="A7" t="s">
        <v>918</v>
      </c>
      <c r="B7">
        <v>2</v>
      </c>
      <c r="E7">
        <v>2</v>
      </c>
    </row>
    <row r="8" spans="1:5">
      <c r="A8" t="s">
        <v>912</v>
      </c>
      <c r="B8">
        <v>233</v>
      </c>
      <c r="C8">
        <v>109</v>
      </c>
      <c r="E8">
        <v>342</v>
      </c>
    </row>
    <row r="10" spans="1:5">
      <c r="A10" t="s">
        <v>919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A6BF2-BCBC-4CDE-9C63-5B1FA83FEFB7}">
  <dimension ref="A2:B7"/>
  <sheetViews>
    <sheetView topLeftCell="A2" workbookViewId="0">
      <selection activeCell="A8" sqref="A8"/>
    </sheetView>
  </sheetViews>
  <sheetFormatPr defaultRowHeight="15"/>
  <cols>
    <col min="1" max="1" width="11.7109375" bestFit="1" customWidth="1"/>
    <col min="2" max="2" width="19.28515625" bestFit="1" customWidth="1"/>
  </cols>
  <sheetData>
    <row r="2" spans="1:2">
      <c r="A2" s="1" t="s">
        <v>3</v>
      </c>
      <c r="B2" t="s">
        <v>915</v>
      </c>
    </row>
    <row r="3" spans="1:2">
      <c r="A3" t="s">
        <v>17</v>
      </c>
      <c r="B3">
        <v>0.7420382165605095</v>
      </c>
    </row>
    <row r="4" spans="1:2">
      <c r="A4" t="s">
        <v>13</v>
      </c>
      <c r="B4">
        <v>0.18890814558058924</v>
      </c>
    </row>
    <row r="5" spans="1:2">
      <c r="A5" t="s">
        <v>912</v>
      </c>
      <c r="B5">
        <v>0.38383838383838381</v>
      </c>
    </row>
    <row r="7" spans="1:2">
      <c r="A7" t="s">
        <v>920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2026-04-08T16:37:08Z</dcterms:created>
  <dcterms:modified xsi:type="dcterms:W3CDTF">2026-05-18T14:19:47Z</dcterms:modified>
  <cp:category/>
  <cp:contentStatus/>
</cp:coreProperties>
</file>